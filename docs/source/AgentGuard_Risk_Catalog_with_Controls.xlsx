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ars\Downloads\"/>
    </mc:Choice>
  </mc:AlternateContent>
  <xr:revisionPtr revIDLastSave="0" documentId="13_ncr:1_{6E66FDD3-A5B0-44FB-A01B-3067EAF1A79D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ummary" sheetId="1" r:id="rId1"/>
    <sheet name="Risk_rule Catalog" sheetId="2" r:id="rId2"/>
    <sheet name="entity" sheetId="4" r:id="rId3"/>
    <sheet name="Source Summar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3" l="1"/>
  <c r="G27" i="3"/>
  <c r="F27" i="3"/>
  <c r="E27" i="3"/>
  <c r="D27" i="3"/>
  <c r="H26" i="3"/>
  <c r="G26" i="3"/>
  <c r="F26" i="3"/>
  <c r="E26" i="3"/>
  <c r="D26" i="3"/>
  <c r="H25" i="3"/>
  <c r="G25" i="3"/>
  <c r="F25" i="3"/>
  <c r="E25" i="3"/>
  <c r="D25" i="3"/>
  <c r="H24" i="3"/>
  <c r="G24" i="3"/>
  <c r="F24" i="3"/>
  <c r="E24" i="3"/>
  <c r="D24" i="3"/>
  <c r="H23" i="3"/>
  <c r="G23" i="3"/>
  <c r="F23" i="3"/>
  <c r="E23" i="3"/>
  <c r="D23" i="3"/>
  <c r="H22" i="3"/>
  <c r="G22" i="3"/>
  <c r="F22" i="3"/>
  <c r="E22" i="3"/>
  <c r="D22" i="3"/>
  <c r="H21" i="3"/>
  <c r="G21" i="3"/>
  <c r="F21" i="3"/>
  <c r="E21" i="3"/>
  <c r="D21" i="3"/>
  <c r="H20" i="3"/>
  <c r="G20" i="3"/>
  <c r="F20" i="3"/>
  <c r="E20" i="3"/>
  <c r="D20" i="3"/>
  <c r="H19" i="3"/>
  <c r="G19" i="3"/>
  <c r="F19" i="3"/>
  <c r="E19" i="3"/>
  <c r="D19" i="3"/>
  <c r="H18" i="3"/>
  <c r="G18" i="3"/>
  <c r="F18" i="3"/>
  <c r="E18" i="3"/>
  <c r="D18" i="3"/>
  <c r="H17" i="3"/>
  <c r="G17" i="3"/>
  <c r="F17" i="3"/>
  <c r="E17" i="3"/>
  <c r="D17" i="3"/>
  <c r="H16" i="3"/>
  <c r="G16" i="3"/>
  <c r="F16" i="3"/>
  <c r="E16" i="3"/>
  <c r="D16" i="3"/>
  <c r="H15" i="3"/>
  <c r="G15" i="3"/>
  <c r="F15" i="3"/>
  <c r="E15" i="3"/>
  <c r="D15" i="3"/>
  <c r="H14" i="3"/>
  <c r="G14" i="3"/>
  <c r="F14" i="3"/>
  <c r="E14" i="3"/>
  <c r="D14" i="3"/>
  <c r="H13" i="3"/>
  <c r="G13" i="3"/>
  <c r="F13" i="3"/>
  <c r="E13" i="3"/>
  <c r="D13" i="3"/>
  <c r="H12" i="3"/>
  <c r="G12" i="3"/>
  <c r="F12" i="3"/>
  <c r="E12" i="3"/>
  <c r="D12" i="3"/>
  <c r="H11" i="3"/>
  <c r="G11" i="3"/>
  <c r="F11" i="3"/>
  <c r="E11" i="3"/>
  <c r="D11" i="3"/>
  <c r="H10" i="3"/>
  <c r="G10" i="3"/>
  <c r="F10" i="3"/>
  <c r="E10" i="3"/>
  <c r="D10" i="3"/>
  <c r="H9" i="3"/>
  <c r="G9" i="3"/>
  <c r="F9" i="3"/>
  <c r="E9" i="3"/>
  <c r="D9" i="3"/>
  <c r="H8" i="3"/>
  <c r="G8" i="3"/>
  <c r="F8" i="3"/>
  <c r="E8" i="3"/>
  <c r="D8" i="3"/>
  <c r="H7" i="3"/>
  <c r="G7" i="3"/>
  <c r="F7" i="3"/>
  <c r="E7" i="3"/>
  <c r="D7" i="3"/>
  <c r="H6" i="3"/>
  <c r="G6" i="3"/>
  <c r="F6" i="3"/>
  <c r="E6" i="3"/>
  <c r="D6" i="3"/>
  <c r="H5" i="3"/>
  <c r="G5" i="3"/>
  <c r="F5" i="3"/>
  <c r="E5" i="3"/>
  <c r="D5" i="3"/>
  <c r="H4" i="3"/>
  <c r="G4" i="3"/>
  <c r="F4" i="3"/>
  <c r="E4" i="3"/>
  <c r="D4" i="3"/>
  <c r="H3" i="3"/>
  <c r="G3" i="3"/>
  <c r="F3" i="3"/>
  <c r="E3" i="3"/>
  <c r="D3" i="3"/>
  <c r="H2" i="3"/>
  <c r="G2" i="3"/>
  <c r="F2" i="3"/>
  <c r="E2" i="3"/>
  <c r="D2" i="3"/>
  <c r="E15" i="1"/>
  <c r="E14" i="1"/>
  <c r="E13" i="1"/>
  <c r="E12" i="1"/>
  <c r="B12" i="1"/>
  <c r="H11" i="1"/>
  <c r="E11" i="1"/>
  <c r="B11" i="1"/>
  <c r="H10" i="1"/>
  <c r="E10" i="1"/>
  <c r="B10" i="1"/>
  <c r="H9" i="1"/>
  <c r="E9" i="1"/>
  <c r="B9" i="1"/>
  <c r="F6" i="1"/>
  <c r="E6" i="1"/>
  <c r="D6" i="1"/>
  <c r="C6" i="1"/>
  <c r="B6" i="1"/>
  <c r="A6" i="1"/>
</calcChain>
</file>

<file path=xl/sharedStrings.xml><?xml version="1.0" encoding="utf-8"?>
<sst xmlns="http://schemas.openxmlformats.org/spreadsheetml/2006/main" count="3118" uniqueCount="1305">
  <si>
    <t>AgentGuard Risk &amp; Vulnerability Catalog</t>
  </si>
  <si>
    <t>Formula-driven overview of native AgentGuard, custom, and NVIDIA SkillSpector rules</t>
  </si>
  <si>
    <t>Total Rules</t>
  </si>
  <si>
    <t>AgentGuard Engine</t>
  </si>
  <si>
    <t>SkillSpector Engine</t>
  </si>
  <si>
    <t>Critical</t>
  </si>
  <si>
    <t>High</t>
  </si>
  <si>
    <t>Native Rules</t>
  </si>
  <si>
    <t>Severity</t>
  </si>
  <si>
    <t>Rule Count</t>
  </si>
  <si>
    <t>Analysis Type</t>
  </si>
  <si>
    <t>Rule Set</t>
  </si>
  <si>
    <t>taint</t>
  </si>
  <si>
    <t>Native</t>
  </si>
  <si>
    <t>config</t>
  </si>
  <si>
    <t>Custom</t>
  </si>
  <si>
    <t>Medium</t>
  </si>
  <si>
    <t>external</t>
  </si>
  <si>
    <t>Integration</t>
  </si>
  <si>
    <t>Low</t>
  </si>
  <si>
    <t>secret</t>
  </si>
  <si>
    <t>structural</t>
  </si>
  <si>
    <t>control_flow</t>
  </si>
  <si>
    <t>dependency</t>
  </si>
  <si>
    <t>Catalog Scope</t>
  </si>
  <si>
    <t>Includes all YAML rule definitions currently loaded from rules/builtin, rules/custom, and rules/integrations. SkillSpector entries are external-engine metadata and require the separately installed NVIDIA CLI.</t>
  </si>
  <si>
    <t>https://github.com/akarshkn17/AgentGuard</t>
  </si>
  <si>
    <t>Rule ID</t>
  </si>
  <si>
    <t>Name</t>
  </si>
  <si>
    <t>Engine</t>
  </si>
  <si>
    <t>Category</t>
  </si>
  <si>
    <t>Targets</t>
  </si>
  <si>
    <t>Sources</t>
  </si>
  <si>
    <t>Sinks</t>
  </si>
  <si>
    <t>Barriers</t>
  </si>
  <si>
    <t>Message</t>
  </si>
  <si>
    <t>Detection Logic</t>
  </si>
  <si>
    <t>Remediation</t>
  </si>
  <si>
    <t>Source Description</t>
  </si>
  <si>
    <t>Sink Description</t>
  </si>
  <si>
    <t>Source File</t>
  </si>
  <si>
    <t>Source URL</t>
  </si>
  <si>
    <t>CUSTOM-AI-001</t>
  </si>
  <si>
    <t>Example organization admin command rule</t>
  </si>
  <si>
    <t>agentguard</t>
  </si>
  <si>
    <t>custom</t>
  </si>
  <si>
    <t>agent, tool</t>
  </si>
  <si>
    <t>llm_output</t>
  </si>
  <si>
    <t>shell_execution</t>
  </si>
  <si>
    <t>command_allowlist, authorization_check</t>
  </si>
  <si>
    <t>LLM output reaches a custom privileged command API.</t>
  </si>
  <si>
    <t>Use a fixed operation enum and deterministic authorization before execution.</t>
  </si>
  <si>
    <t>rules/custom/example.yaml</t>
  </si>
  <si>
    <t>https://github.com/akarshkn17/AgentGuard/blob/main/rules/custom/example.yaml</t>
  </si>
  <si>
    <t>AIR-AGENT-001</t>
  </si>
  <si>
    <t>Unbounded recursion or iteration in agent loop</t>
  </si>
  <si>
    <t>Agent Orchestration</t>
  </si>
  <si>
    <t>agent</t>
  </si>
  <si>
    <t>Flag agent loops lacking max iterations/recursion limit or set to extremely high/unlimited.</t>
  </si>
  <si>
    <t>Hard step/recursion limit</t>
  </si>
  <si>
    <t>N/A</t>
  </si>
  <si>
    <t>while agent continues, recursion_limit absent/excessive</t>
  </si>
  <si>
    <t>rules/builtin/agent_orchestration.yaml</t>
  </si>
  <si>
    <t>https://github.com/akarshkn17/AgentGuard/blob/main/rules/builtin/agent_orchestration.yaml</t>
  </si>
  <si>
    <t>AIR-AGENT-002</t>
  </si>
  <si>
    <t>Unbounded retry of LLM/tool calls</t>
  </si>
  <si>
    <t>Flag retry decorators/loops with no max attempts around model/tool/network calls.</t>
  </si>
  <si>
    <t>Max retry count + timeout + budget</t>
  </si>
  <si>
    <t>retry loops/backoff handlers</t>
  </si>
  <si>
    <t>AIR-AGENT-003</t>
  </si>
  <si>
    <t>No timeout on external tool or model call</t>
  </si>
  <si>
    <t>Flag external calls in agent/tool code with absent timeout where API supports one; confidence-based.</t>
  </si>
  <si>
    <t>Finite timeout</t>
  </si>
  <si>
    <t>HTTP/model/subprocess/tool call</t>
  </si>
  <si>
    <t>AIR-AGENT-004</t>
  </si>
  <si>
    <t>No token/context budget before model invocation</t>
  </si>
  <si>
    <t>Flag unbounded collection/history/document concatenation into prompts with no length/token cap.</t>
  </si>
  <si>
    <t>Maximum input size/token budget/truncation</t>
  </si>
  <si>
    <t>Documents/history/retrieval context</t>
  </si>
  <si>
    <t>LLM invocation</t>
  </si>
  <si>
    <t>AIR-AGENT-005</t>
  </si>
  <si>
    <t>Parallel agents share mutable global state</t>
  </si>
  <si>
    <t>Flag global mutable conversation/memory/tool state accessed by concurrent agent handlers.</t>
  </si>
  <si>
    <t>Per-session isolated state store</t>
  </si>
  <si>
    <t>Multiple sessions/agents</t>
  </si>
  <si>
    <t>module/global mutable dict/list/state object</t>
  </si>
  <si>
    <t>AIR-AGENT-006</t>
  </si>
  <si>
    <t>Model output selects arbitrary callable/function by name</t>
  </si>
  <si>
    <t>allowlist</t>
  </si>
  <si>
    <t>Flag model-controlled name used in dynamic callable lookup/invocation without allowlist.</t>
  </si>
  <si>
    <t>Allowlisted registry with fixed capability set</t>
  </si>
  <si>
    <t>LLM output function/tool name</t>
  </si>
  <si>
    <t>globals(), getattr(), registry lookup followed by call</t>
  </si>
  <si>
    <t>AIR-AGENT-007</t>
  </si>
  <si>
    <t>Agent can dynamically install/load new tools during execution</t>
  </si>
  <si>
    <t>llm_output, user_input</t>
  </si>
  <si>
    <t>Flag model/user-controlled dynamic tool registration, package install, plugin load, or MCP server connection.</t>
  </si>
  <si>
    <t>Admin-approved signed registry only</t>
  </si>
  <si>
    <t>Model/user tool/package/server identifier</t>
  </si>
  <si>
    <t>tool installer/registry/import/MCP connect</t>
  </si>
  <si>
    <t>AIR-AGENT-008</t>
  </si>
  <si>
    <t>Planner-generated arguments bypass typed tool interface</t>
  </si>
  <si>
    <t>schema_validation</t>
  </si>
  <si>
    <t>Flag generic dispatcher that forwards model-produced dicts to callables without per-tool validation.</t>
  </si>
  <si>
    <t>Per-tool typed schema and validation</t>
  </si>
  <si>
    <t>Planner raw text/JSON</t>
  </si>
  <si>
    <t>generic dispatch **kwargs/dict to arbitrary tool</t>
  </si>
  <si>
    <t>AIR-AGENT-009</t>
  </si>
  <si>
    <t>Sub-agent can call parent-only privileged tools</t>
  </si>
  <si>
    <t>multi-agent</t>
  </si>
  <si>
    <t>Build agent-to-tool graph; flag privileged tool bound to or reachable by unauthorized sub-agents.</t>
  </si>
  <si>
    <t>Per-agent capability set</t>
  </si>
  <si>
    <t>Sub-agent execution context</t>
  </si>
  <si>
    <t>privileged parent tool</t>
  </si>
  <si>
    <t>AIR-AGENT-010</t>
  </si>
  <si>
    <t>Agent-to-agent messages can spoof system/internal role</t>
  </si>
  <si>
    <t>Flag remote agent content accepted with caller-supplied privileged role/type.</t>
  </si>
  <si>
    <t>Authenticated channel + fixed role assignment</t>
  </si>
  <si>
    <t>Remote/sub-agent message</t>
  </si>
  <si>
    <t>system/internal message channel</t>
  </si>
  <si>
    <t>AIR-AUTH-001</t>
  </si>
  <si>
    <t>Tool authorization does not bind to initiating user identity</t>
  </si>
  <si>
    <t>Authorization</t>
  </si>
  <si>
    <t>rbac_check</t>
  </si>
  <si>
    <t>Flag sensitive tool functions lacking user/principal parameter or authorization call before side effect.</t>
  </si>
  <si>
    <t>Propagate identity and enforce RBAC/ABAC at tool boundary</t>
  </si>
  <si>
    <t>Authenticated user identity</t>
  </si>
  <si>
    <t>sensitive tool handler</t>
  </si>
  <si>
    <t>rules/builtin/authorization.yaml</t>
  </si>
  <si>
    <t>https://github.com/akarshkn17/AgentGuard/blob/main/rules/builtin/authorization.yaml</t>
  </si>
  <si>
    <t>AIR-AUTH-002</t>
  </si>
  <si>
    <t>Cross-agent delegation drops authorization context</t>
  </si>
  <si>
    <t>Track identity object across agent call graph; flag delegation where identity is absent/replaced with service identity only.</t>
  </si>
  <si>
    <t>Propagate signed identity/claims and reduce privileges</t>
  </si>
  <si>
    <t>User principal/claims/tenant</t>
  </si>
  <si>
    <t>sub-agent invocation / remote agent call</t>
  </si>
  <si>
    <t>AIR-AUTH-003</t>
  </si>
  <si>
    <t>Agent identity trusted from spoofable header/string</t>
  </si>
  <si>
    <t>Identity</t>
  </si>
  <si>
    <t>agent, tool, mcp</t>
  </si>
  <si>
    <t>user_input</t>
  </si>
  <si>
    <t>authorization_decision</t>
  </si>
  <si>
    <t>Flag request/model-controlled identity strings used in allow/deny checks.</t>
  </si>
  <si>
    <t>Verified signed token/workload identity</t>
  </si>
  <si>
    <t>X-Agent-Name, agent_id, role, caller name from request/model</t>
  </si>
  <si>
    <t>authorization decision</t>
  </si>
  <si>
    <t>rules/builtin/identity.yaml</t>
  </si>
  <si>
    <t>https://github.com/akarshkn17/AgentGuard/blob/main/rules/builtin/identity.yaml</t>
  </si>
  <si>
    <t>AIR-AUTH-004</t>
  </si>
  <si>
    <t>Runtime service account uses wildcard/broad cloud permissions</t>
  </si>
  <si>
    <t>agent_runtime</t>
  </si>
  <si>
    <t>IaC rule for agent workload identity with wildcard actions/resources or broad predefined admin roles.</t>
  </si>
  <si>
    <t>Least-privilege role scoped to approved tools/resources</t>
  </si>
  <si>
    <t>IAM roles/actions/resources with wildcard/admin/editor/owner</t>
  </si>
  <si>
    <t>AIR-AUTH-005</t>
  </si>
  <si>
    <t>Tool allowlist is derived from model or user input</t>
  </si>
  <si>
    <t>policy_mutation</t>
  </si>
  <si>
    <t>Flag tainted values mutating enabled/allowed tool lists.</t>
  </si>
  <si>
    <t>Server-side static/policy-derived allowlist</t>
  </si>
  <si>
    <t>User/model-selected tool names</t>
  </si>
  <si>
    <t>enabled_tools/allowed_tools/tool registry</t>
  </si>
  <si>
    <t>AIR-AUTH-006</t>
  </si>
  <si>
    <t>All registered tools exposed to model regardless of user role</t>
  </si>
  <si>
    <t>Flag sensitive tool set bound unconditionally in apps with multiple roles/tenants.</t>
  </si>
  <si>
    <t>Role/policy-filtered tool set</t>
  </si>
  <si>
    <t>User role/identity</t>
  </si>
  <si>
    <t>llm.bind_tools/tools=[all_tools]/agent executor</t>
  </si>
  <si>
    <t>AIR-AUTH-007</t>
  </si>
  <si>
    <t>Sensitive action lacks step-up or human approval gate</t>
  </si>
  <si>
    <t>approval_gate</t>
  </si>
  <si>
    <t>Flag configured high-impact sinks directly reachable from model tool call without approval function/node.</t>
  </si>
  <si>
    <t>Explicit approval/policy node</t>
  </si>
  <si>
    <t>LLM tool-call decision</t>
  </si>
  <si>
    <t>delete/deploy/payment/email/admin/production side-effect</t>
  </si>
  <si>
    <t>AIR-AUTH-008</t>
  </si>
  <si>
    <t>Authorization result cached without user/resource scoping</t>
  </si>
  <si>
    <t>tool</t>
  </si>
  <si>
    <t>Flag global/static allow cache or cache keyed only by tool/action.</t>
  </si>
  <si>
    <t>Cache key includes principal, action, resource, policy version</t>
  </si>
  <si>
    <t>Auth decision cache</t>
  </si>
  <si>
    <t>tool/resource access</t>
  </si>
  <si>
    <t>AIR-CLOUD-001</t>
  </si>
  <si>
    <t>Agent service account key embedded or mounted as static credential</t>
  </si>
  <si>
    <t>Cloud Config</t>
  </si>
  <si>
    <t>sensitive_data</t>
  </si>
  <si>
    <t>Detect cloud key JSON/private key files and static credential mounts in agent deployments.</t>
  </si>
  <si>
    <t>Workload identity / short-lived credentials</t>
  </si>
  <si>
    <t>Service-account key file/token</t>
  </si>
  <si>
    <t>container/env/secret volume/code</t>
  </si>
  <si>
    <t>rules/builtin/cloud_config.yaml</t>
  </si>
  <si>
    <t>https://github.com/akarshkn17/AgentGuard/blob/main/rules/builtin/cloud_config.yaml</t>
  </si>
  <si>
    <t>AIR-CLOUD-002</t>
  </si>
  <si>
    <t>Agent container runs privileged or with host mounts</t>
  </si>
  <si>
    <t>path_containment</t>
  </si>
  <si>
    <t>Kubernetes/Docker IaC rule scoped to AI agent/tool/MCP workloads.</t>
  </si>
  <si>
    <t>Restricted container security context</t>
  </si>
  <si>
    <t>privileged:true, hostPath, docker.sock, hostNetwork/hostPID</t>
  </si>
  <si>
    <t>AIR-CLOUD-003</t>
  </si>
  <si>
    <t>Agent workload has unrestricted outbound network egress</t>
  </si>
  <si>
    <t>Flag agent/tool workloads with powerful data access and no egress restrictions; repository-level config rule.</t>
  </si>
  <si>
    <t>Egress allowlist/proxy/network policy</t>
  </si>
  <si>
    <t>no NetworkPolicy/egress restriction where architecture expects isolation</t>
  </si>
  <si>
    <t>AIR-CLOUD-004</t>
  </si>
  <si>
    <t>Publicly exposed agent/MCP/admin service without auth proxy</t>
  </si>
  <si>
    <t>Correlate public ingress with service lacking app/auth middleware.</t>
  </si>
  <si>
    <t>Auth gateway/IAP/API gateway/private ingress</t>
  </si>
  <si>
    <t>Internet ingress</t>
  </si>
  <si>
    <t>LoadBalancer/Ingress/public endpoint to sensitive service</t>
  </si>
  <si>
    <t>AIR-EXEC-001</t>
  </si>
  <si>
    <t>LLM or user input reaches shell command execution</t>
  </si>
  <si>
    <t>Code Execution</t>
  </si>
  <si>
    <t>tool, agent</t>
  </si>
  <si>
    <t>user_input, llm_output, tool_result, retrieval</t>
  </si>
  <si>
    <t>Source-to-sink taint rule; treat string formatting into shell commands as exploitable.</t>
  </si>
  <si>
    <t>Argument arrays, allowlisted commands, no shell interpolation</t>
  </si>
  <si>
    <t>User input, model output, tool args, retrieved content</t>
  </si>
  <si>
    <t>os.system, subprocess.* with shell=True, child_process.exec, execSync, spawn with shell</t>
  </si>
  <si>
    <t>rules/builtin/code_execution.yaml</t>
  </si>
  <si>
    <t>https://github.com/akarshkn17/AgentGuard/blob/main/rules/builtin/code_execution.yaml</t>
  </si>
  <si>
    <t>AIR-EXEC-002</t>
  </si>
  <si>
    <t>LLM or user input reaches eval/exec</t>
  </si>
  <si>
    <t>dynamic_code</t>
  </si>
  <si>
    <t>Flag any untrusted source reaching dynamic language execution.</t>
  </si>
  <si>
    <t>No dynamic code execution; parser/allowlist instead</t>
  </si>
  <si>
    <t>User/model/tool/retrieval content</t>
  </si>
  <si>
    <t>eval, exec, compile+exec, Function(), vm.runIn*</t>
  </si>
  <si>
    <t>AIR-EXEC-003</t>
  </si>
  <si>
    <t>Dynamic import/module loading from untrusted input</t>
  </si>
  <si>
    <t>llm_output, path_input, user_input</t>
  </si>
  <si>
    <t>Flag untrusted module/package name reaching dynamic import API.</t>
  </si>
  <si>
    <t>Allowlisted module identifiers</t>
  </si>
  <si>
    <t>User/model/tool-controlled module/package/path</t>
  </si>
  <si>
    <t>importlib.import_module, __import__, require(), dynamic import()</t>
  </si>
  <si>
    <t>AIR-EXEC-004</t>
  </si>
  <si>
    <t>LLM or user input reaches SQL query construction</t>
  </si>
  <si>
    <t>Injection</t>
  </si>
  <si>
    <t>user_input, llm_output</t>
  </si>
  <si>
    <t>sql_query</t>
  </si>
  <si>
    <t>Flag tainted value concatenated/interpolated into SQL passed to execution sink.</t>
  </si>
  <si>
    <t>Parameterized queries / query builder</t>
  </si>
  <si>
    <t>User input, model output, tool args</t>
  </si>
  <si>
    <t>cursor.execute/query/raw SQL/string SQL APIs</t>
  </si>
  <si>
    <t>rules/builtin/injection.yaml</t>
  </si>
  <si>
    <t>https://github.com/akarshkn17/AgentGuard/blob/main/rules/builtin/injection.yaml</t>
  </si>
  <si>
    <t>AIR-EXEC-005</t>
  </si>
  <si>
    <t>LLM or user input reaches NoSQL/graph query object unsafely</t>
  </si>
  <si>
    <t>allowlist, schema_validation</t>
  </si>
  <si>
    <t>Flag tainted object/operator keys such as $where/$regex/script or raw graph query strings.</t>
  </si>
  <si>
    <t>Schema + operator allowlist; parameterized query APIs</t>
  </si>
  <si>
    <t>User/model/tool-controlled filters/operators</t>
  </si>
  <si>
    <t>Mongo find/update, Elasticsearch query DSL, Cypher/Gremlin raw query</t>
  </si>
  <si>
    <t>AIR-EXEC-006</t>
  </si>
  <si>
    <t>LLM output reaches template engine with code-capable expressions</t>
  </si>
  <si>
    <t>Flag untrusted content used as template source rather than template data.</t>
  </si>
  <si>
    <t>Sandboxed template + fixed template source</t>
  </si>
  <si>
    <t>Model/user/tool content</t>
  </si>
  <si>
    <t>Jinja2 Template/from_string, render_template_string, EJS/Pug/Handlebars unsafe helpers</t>
  </si>
  <si>
    <t>AIR-EXEC-007</t>
  </si>
  <si>
    <t>Downloaded content executed without integrity verification</t>
  </si>
  <si>
    <t>tool, skill</t>
  </si>
  <si>
    <t>url_input</t>
  </si>
  <si>
    <t>signature_verification</t>
  </si>
  <si>
    <t>Detect download-to-execute chains and curl|bash / wget|sh patterns.</t>
  </si>
  <si>
    <t>Checksum/signature verification and trusted origin</t>
  </si>
  <si>
    <t>HTTP download, curl/wget, remote URL, package artifact</t>
  </si>
  <si>
    <t>shell execution, chmod+execute, python/node/bash invocation</t>
  </si>
  <si>
    <t>AIR-EXEC-008</t>
  </si>
  <si>
    <t>Skill installs and executes unpinned package at runtime</t>
  </si>
  <si>
    <t>skill, plugin</t>
  </si>
  <si>
    <t>Flag pip install pkg, npm install pkg, npx pkg without exact version/digest inside skills/tools.</t>
  </si>
  <si>
    <t>Pinned version + lockfile + trusted registry</t>
  </si>
  <si>
    <t>pip/npm/uv/npx/package install command in skill/tool</t>
  </si>
  <si>
    <t>runtime execution/import of installed package</t>
  </si>
  <si>
    <t>AIR-EXEC-009</t>
  </si>
  <si>
    <t>User or model-controlled interpreter selection</t>
  </si>
  <si>
    <t>path_input, user_input</t>
  </si>
  <si>
    <t>dynamic_code, shell_execution</t>
  </si>
  <si>
    <t>Flag tainted executable/program argument at process-creation sink.</t>
  </si>
  <si>
    <t>Fixed executable allowlist</t>
  </si>
  <si>
    <t>Interpreter/runtime name or executable path from input</t>
  </si>
  <si>
    <t>subprocess/exec/spawn</t>
  </si>
  <si>
    <t>AIR-FILE-001</t>
  </si>
  <si>
    <t>Model-controlled path reaches file read</t>
  </si>
  <si>
    <t>File Access</t>
  </si>
  <si>
    <t>user_input, llm_output, path_input</t>
  </si>
  <si>
    <t>file_read</t>
  </si>
  <si>
    <t>Flag tainted path at read sink without resolve+root containment check.</t>
  </si>
  <si>
    <t>Canonicalize + restrict to approved root</t>
  </si>
  <si>
    <t>Model/user/tool path</t>
  </si>
  <si>
    <t>open/readFile/read_text/send_file/file loader</t>
  </si>
  <si>
    <t>rules/builtin/file_access.yaml</t>
  </si>
  <si>
    <t>https://github.com/akarshkn17/AgentGuard/blob/main/rules/builtin/file_access.yaml</t>
  </si>
  <si>
    <t>AIR-FILE-002</t>
  </si>
  <si>
    <t>Model-controlled path reaches file write/delete</t>
  </si>
  <si>
    <t>file_write</t>
  </si>
  <si>
    <t>Flag tainted path at write/delete sink without containment policy.</t>
  </si>
  <si>
    <t>Canonicalize + approved writable root + deny sensitive paths</t>
  </si>
  <si>
    <t>open(write), writeFile, unlink/remove/rmtree, rename</t>
  </si>
  <si>
    <t>AIR-FILE-003</t>
  </si>
  <si>
    <t>Arbitrary local URI loader permits file disclosure</t>
  </si>
  <si>
    <t>tool, rag</t>
  </si>
  <si>
    <t>llm_output, url_input, user_input</t>
  </si>
  <si>
    <t>Flag user/model URI entering loader that supports file:// or local paths.</t>
  </si>
  <si>
    <t>Allowlisted schemes and roots</t>
  </si>
  <si>
    <t>User/model-controlled URI</t>
  </si>
  <si>
    <t>file:// loader, generic URL/file loader, document loader</t>
  </si>
  <si>
    <t>AIR-FILE-004</t>
  </si>
  <si>
    <t>Unsafe archive extraction permits Zip Slip</t>
  </si>
  <si>
    <t>Archive</t>
  </si>
  <si>
    <t>Flag archive extraction without member path containment validation.</t>
  </si>
  <si>
    <t>Validate each extracted path remains under destination</t>
  </si>
  <si>
    <t>Uploaded/downloaded archive</t>
  </si>
  <si>
    <t>extractall/unzip/tar extraction</t>
  </si>
  <si>
    <t>rules/builtin/archive.yaml</t>
  </si>
  <si>
    <t>https://github.com/akarshkn17/AgentGuard/blob/main/rules/builtin/archive.yaml</t>
  </si>
  <si>
    <t>AIR-FILE-005</t>
  </si>
  <si>
    <t>Uploaded executable/script content stored in executable location</t>
  </si>
  <si>
    <t>File Upload</t>
  </si>
  <si>
    <t>retrieval</t>
  </si>
  <si>
    <t>Flag uploads written into directories later imported/executed or served as executable content.</t>
  </si>
  <si>
    <t>Extension/content validation + non-executable storage</t>
  </si>
  <si>
    <t>User/tool file upload</t>
  </si>
  <si>
    <t>web root, plugin/skill directory, executable workspace</t>
  </si>
  <si>
    <t>rules/builtin/file_upload.yaml</t>
  </si>
  <si>
    <t>https://github.com/akarshkn17/AgentGuard/blob/main/rules/builtin/file_upload.yaml</t>
  </si>
  <si>
    <t>AIR-FILE-006</t>
  </si>
  <si>
    <t>Skill scans broad filesystem or home directory for secrets</t>
  </si>
  <si>
    <t>skill, agent</t>
  </si>
  <si>
    <t>Flag skill/tool instructions or code that enumerate known credential paths without a narrow documented target.</t>
  </si>
  <si>
    <t>Explicit narrow file allowlist</t>
  </si>
  <si>
    <t>Skill/tool logic</t>
  </si>
  <si>
    <t>~/.ssh, ~/.aws, ~/.config, .env, credentials files, recursive home scan</t>
  </si>
  <si>
    <t>AIR-MCP-001</t>
  </si>
  <si>
    <t>MCP server exposed over plaintext HTTP</t>
  </si>
  <si>
    <t>MCP</t>
  </si>
  <si>
    <t>mcp_server</t>
  </si>
  <si>
    <t>tls_validation</t>
  </si>
  <si>
    <t>Flag network MCP server configured with plaintext remote listener; exempt loopback/local development by policy.</t>
  </si>
  <si>
    <t>TLS or trusted local-only transport</t>
  </si>
  <si>
    <t>http:// listener / SSE or streamable HTTP without TLS termination requirement</t>
  </si>
  <si>
    <t>rules/builtin/mcp.yaml</t>
  </si>
  <si>
    <t>https://github.com/akarshkn17/AgentGuard/blob/main/rules/builtin/mcp.yaml</t>
  </si>
  <si>
    <t>AIR-MCP-002</t>
  </si>
  <si>
    <t>MCP server lacks authentication for sensitive tools/resources</t>
  </si>
  <si>
    <t>authorization_check</t>
  </si>
  <si>
    <t>Flag sensitive handlers reachable without auth middleware/decorator or identity check.</t>
  </si>
  <si>
    <t>OAuth/workload identity/API auth plus authorization</t>
  </si>
  <si>
    <t>Incoming MCP request</t>
  </si>
  <si>
    <t>tool/resource/prompt handler</t>
  </si>
  <si>
    <t>AIR-MCP-003</t>
  </si>
  <si>
    <t>MCP server trusts static shared token embedded in code/config</t>
  </si>
  <si>
    <t>Secret-scan tokens specifically in MCP auth/server configuration.</t>
  </si>
  <si>
    <t>External secret store + rotation</t>
  </si>
  <si>
    <t>Hardcoded bearer/API token</t>
  </si>
  <si>
    <t>MCP authentication middleware</t>
  </si>
  <si>
    <t>AIR-MCP-004</t>
  </si>
  <si>
    <t>Permissive CORS or missing Origin validation on browser-reachable MCP</t>
  </si>
  <si>
    <t>Flag Access-Control-Allow-Origin:* or disabled origin checks on MCP network endpoints.</t>
  </si>
  <si>
    <t>Explicit trusted origins and origin validation</t>
  </si>
  <si>
    <t>Browser Origin</t>
  </si>
  <si>
    <t>MCP HTTP/SSE endpoint</t>
  </si>
  <si>
    <t>AIR-MCP-005</t>
  </si>
  <si>
    <t>MCP server URL is user/model controlled</t>
  </si>
  <si>
    <t>mcp_client</t>
  </si>
  <si>
    <t>Flag tainted server URL passed to MCP client connection.</t>
  </si>
  <si>
    <t>Server registry allowlist + fixed trust configuration</t>
  </si>
  <si>
    <t>User/model/config input at runtime</t>
  </si>
  <si>
    <t>MCP client connect/server URL</t>
  </si>
  <si>
    <t>AIR-MCP-006</t>
  </si>
  <si>
    <t>Automatic trust of all discovered MCP tools</t>
  </si>
  <si>
    <t>allowlist, approval_gate</t>
  </si>
  <si>
    <t>Flag code that registers every remote tool in returned capability list without filtering.</t>
  </si>
  <si>
    <t>Per-server and per-tool allowlist/approval</t>
  </si>
  <si>
    <t>Remote list_tools/capabilities result</t>
  </si>
  <si>
    <t>agent tool registry</t>
  </si>
  <si>
    <t>AIR-MCP-007</t>
  </si>
  <si>
    <t>Remote MCP prompt inserted as system/developer message</t>
  </si>
  <si>
    <t>privileged_prompt</t>
  </si>
  <si>
    <t>Flag remote MCP prompt content promoted to privileged message role.</t>
  </si>
  <si>
    <t>Treat remote prompt as untrusted content unless signed/approved</t>
  </si>
  <si>
    <t>MCP prompts/get or remote prompt content</t>
  </si>
  <si>
    <t>system/developer role</t>
  </si>
  <si>
    <t>AIR-MCP-008</t>
  </si>
  <si>
    <t>MCP resource URI permits path traversal</t>
  </si>
  <si>
    <t>path_input, url_input</t>
  </si>
  <si>
    <t>Flag resource URI/path reaching filesystem sink without containment check.</t>
  </si>
  <si>
    <t>Canonical path + resource-root containment</t>
  </si>
  <si>
    <t>Resource URI/path parameter</t>
  </si>
  <si>
    <t>filesystem read/write/resource handler</t>
  </si>
  <si>
    <t>AIR-MCP-009</t>
  </si>
  <si>
    <t>MCP resource handler permits arbitrary URL fetching</t>
  </si>
  <si>
    <t>url_input, user_input</t>
  </si>
  <si>
    <t>Flag resource/tool parameters used as arbitrary outbound URL.</t>
  </si>
  <si>
    <t>Scheme/host allowlist + SSRF protections</t>
  </si>
  <si>
    <t>Resource URI or tool argument</t>
  </si>
  <si>
    <t>HTTP fetch/client</t>
  </si>
  <si>
    <t>AIR-MCP-010</t>
  </si>
  <si>
    <t>MCP tool exposes arbitrary command execution primitive</t>
  </si>
  <si>
    <t>Flag MCP tools whose user/model-controlled schema is directly mapped to process execution.</t>
  </si>
  <si>
    <t>Narrow task-specific tool schema and command allowlist</t>
  </si>
  <si>
    <t>Tool schema fields such as command, cmd, shell, script</t>
  </si>
  <si>
    <t>process execution APIs</t>
  </si>
  <si>
    <t>AIR-MCP-011</t>
  </si>
  <si>
    <t>MCP tool exposes arbitrary filesystem primitive</t>
  </si>
  <si>
    <t>file_read, file_write</t>
  </si>
  <si>
    <t>Flag generic read/write/delete tools accepting arbitrary paths without root restriction.</t>
  </si>
  <si>
    <t>Scoped root + operation allowlist</t>
  </si>
  <si>
    <t>Tool schema fields path/file/directory</t>
  </si>
  <si>
    <t>read/write/delete filesystem APIs</t>
  </si>
  <si>
    <t>AIR-MCP-012</t>
  </si>
  <si>
    <t>MCP tool exposes arbitrary HTTP request primitive</t>
  </si>
  <si>
    <t>user_input, llm_output, url_input</t>
  </si>
  <si>
    <t>network_request</t>
  </si>
  <si>
    <t>Flag generic request tools that forward model-controlled URL/method/headers.</t>
  </si>
  <si>
    <t>Approved domains/methods; SSRF and header restrictions</t>
  </si>
  <si>
    <t>Tool schema url/method/headers/body</t>
  </si>
  <si>
    <t>generic HTTP client</t>
  </si>
  <si>
    <t>AIR-MCP-013</t>
  </si>
  <si>
    <t>MCP tool result bypasses trust validation before sensitive action</t>
  </si>
  <si>
    <t>mcp_result, tool_result</t>
  </si>
  <si>
    <t>Flag MCP result transitively reaching sensitive sink without validator/policy node.</t>
  </si>
  <si>
    <t>Schema and semantic validation; policy check</t>
  </si>
  <si>
    <t>MCP tool result</t>
  </si>
  <si>
    <t>privileged tool/action, command, query, file/network sink</t>
  </si>
  <si>
    <t>AIR-MCP-014</t>
  </si>
  <si>
    <t>MCP process launched through shell with interpolated configuration</t>
  </si>
  <si>
    <t>Flag MCP stdio server launch using shell strings or interpolation.</t>
  </si>
  <si>
    <t>Direct argv process launch; fixed executable</t>
  </si>
  <si>
    <t>Server command/args/env from config or input</t>
  </si>
  <si>
    <t>shell=True, exec(command string)</t>
  </si>
  <si>
    <t>AIR-MCP-015</t>
  </si>
  <si>
    <t>Secrets stored directly in MCP configuration</t>
  </si>
  <si>
    <t>mcp_config</t>
  </si>
  <si>
    <t>Secret scan MCP configuration and manifests.</t>
  </si>
  <si>
    <t>Secret references/environment injection from secret manager</t>
  </si>
  <si>
    <t>Tokens/passwords/API keys/private keys</t>
  </si>
  <si>
    <t>mcp.json, servers config, environment blocks, manifests</t>
  </si>
  <si>
    <t>AIR-MCP-016</t>
  </si>
  <si>
    <t>MCP capability expansion is not bounded by configured policy</t>
  </si>
  <si>
    <t>Flag dynamic capability registration when no local allowlist/policy filter exists.</t>
  </si>
  <si>
    <t>Explicit configured capabilities per server</t>
  </si>
  <si>
    <t>Remote capability list</t>
  </si>
  <si>
    <t>agent available tools/resources/prompts</t>
  </si>
  <si>
    <t>AIR-MODEL-001</t>
  </si>
  <si>
    <t>Remote model code execution enabled</t>
  </si>
  <si>
    <t>Model Supply Chain</t>
  </si>
  <si>
    <t>model_loader</t>
  </si>
  <si>
    <t>Direct rule for trust_remote_code=True and equivalent flags.</t>
  </si>
  <si>
    <t>Disable remote code or pin+review trusted repository</t>
  </si>
  <si>
    <t>trust_remote_code=True or equivalent custom-code loading</t>
  </si>
  <si>
    <t>rules/builtin/model_supply_chain.yaml</t>
  </si>
  <si>
    <t>https://github.com/akarshkn17/AgentGuard/blob/main/rules/builtin/model_supply_chain.yaml</t>
  </si>
  <si>
    <t>AIR-MODEL-002</t>
  </si>
  <si>
    <t>Unsafe pickle/joblib model deserialization</t>
  </si>
  <si>
    <t>model_load</t>
  </si>
  <si>
    <t>Flag untrusted artifact reaching unsafe deserialization.</t>
  </si>
  <si>
    <t>Safe format or cryptographically trusted artifact</t>
  </si>
  <si>
    <t>Downloaded/user-controlled model artifact</t>
  </si>
  <si>
    <t>pickle.load/loads, joblib.load, dill/cloudpickle</t>
  </si>
  <si>
    <t>AIR-MODEL-003</t>
  </si>
  <si>
    <t>Unsafe torch.load of untrusted artifact</t>
  </si>
  <si>
    <t>pytorch_model_loader</t>
  </si>
  <si>
    <t>Flag untrusted path to torch.load; increase confidence when weights_only=False.</t>
  </si>
  <si>
    <t>weights_only=True plus trusted artifact policy</t>
  </si>
  <si>
    <t>Downloaded/user-controlled .pt/.pth artifact</t>
  </si>
  <si>
    <t>torch.load with weights_only=False/omitted where unsafe</t>
  </si>
  <si>
    <t>AIR-MODEL-004</t>
  </si>
  <si>
    <t>Model revision/version is floating or unpinned</t>
  </si>
  <si>
    <t>Flag production model loads without revision/version/digest pinning.</t>
  </si>
  <si>
    <t>Pinned immutable revision/digest</t>
  </si>
  <si>
    <t>from_pretrained/model load using latest/main/master/no revision</t>
  </si>
  <si>
    <t>AIR-MODEL-005</t>
  </si>
  <si>
    <t>LoRA/adapter loaded from untrusted or mutable source</t>
  </si>
  <si>
    <t>model, adapter_loader</t>
  </si>
  <si>
    <t>Flag tainted adapter identifier or missing revision/digest.</t>
  </si>
  <si>
    <t>Trusted registry + pinned revision</t>
  </si>
  <si>
    <t>User/config remote adapter identifier</t>
  </si>
  <si>
    <t>adapter/PEFT load</t>
  </si>
  <si>
    <t>AIR-MODEL-006</t>
  </si>
  <si>
    <t>Model/artifact downloaded without checksum or signature verification</t>
  </si>
  <si>
    <t>artifact_downloader</t>
  </si>
  <si>
    <t>Detect remote download -&gt; load chain without intervening integrity verification.</t>
  </si>
  <si>
    <t>Digest/signature verification before load</t>
  </si>
  <si>
    <t>Remote URL</t>
  </si>
  <si>
    <t>model load/deserialization</t>
  </si>
  <si>
    <t>AIR-MODEL-007</t>
  </si>
  <si>
    <t>Model API base URL is user/model controlled</t>
  </si>
  <si>
    <t>Model Provider</t>
  </si>
  <si>
    <t>llm_client</t>
  </si>
  <si>
    <t>Flag tainted endpoint/base_url passed to LLM/embedding client.</t>
  </si>
  <si>
    <t>Provider allowlist</t>
  </si>
  <si>
    <t>Request/model/config runtime input</t>
  </si>
  <si>
    <t>OpenAI-compatible base_url/endpoint/client host</t>
  </si>
  <si>
    <t>rules/builtin/model_provider.yaml</t>
  </si>
  <si>
    <t>https://github.com/akarshkn17/AgentGuard/blob/main/rules/builtin/model_provider.yaml</t>
  </si>
  <si>
    <t>AIR-MODEL-008</t>
  </si>
  <si>
    <t>Unapproved model identifier is user/model controlled</t>
  </si>
  <si>
    <t>Flag tainted model name when no explicit allowlist check dominates.</t>
  </si>
  <si>
    <t>Approved model allowlist</t>
  </si>
  <si>
    <t>Request/model-selected model name</t>
  </si>
  <si>
    <t>LLM client model parameter</t>
  </si>
  <si>
    <t>AIR-MODEL-009</t>
  </si>
  <si>
    <t>User-controlled local model path</t>
  </si>
  <si>
    <t>Flag tainted path passed to model/tokenizer loader.</t>
  </si>
  <si>
    <t>Trusted model directory + canonical containment</t>
  </si>
  <si>
    <t>Request/model file path</t>
  </si>
  <si>
    <t>model/tokenizer/adapter loader</t>
  </si>
  <si>
    <t>AIR-MODEL-010</t>
  </si>
  <si>
    <t>Provider client configured with TLS verification disabled</t>
  </si>
  <si>
    <t>Direct pattern on model/embedding provider HTTP configuration.</t>
  </si>
  <si>
    <t>TLS verification enabled</t>
  </si>
  <si>
    <t>custom HTTP client verify=False / insecure transport</t>
  </si>
  <si>
    <t>AIR-NET-001</t>
  </si>
  <si>
    <t>Model-controlled URL reaches HTTP client without SSRF protection</t>
  </si>
  <si>
    <t>Network</t>
  </si>
  <si>
    <t>Flag tainted URL reaching outbound HTTP client when no URL validator/allowlist dominates.</t>
  </si>
  <si>
    <t>Scheme/host allowlist; block private/link-local/metadata IPs; re-resolve DNS</t>
  </si>
  <si>
    <t>LLM output, tool args, user input, retrieved URL</t>
  </si>
  <si>
    <t>requests/httpx/urllib/fetch/axios/got/http client</t>
  </si>
  <si>
    <t>rules/builtin/network.yaml</t>
  </si>
  <si>
    <t>https://github.com/akarshkn17/AgentGuard/blob/main/rules/builtin/network.yaml</t>
  </si>
  <si>
    <t>AIR-NET-002</t>
  </si>
  <si>
    <t>Arbitrary webhook/callback destination controlled by model</t>
  </si>
  <si>
    <t>Flag model/user URL used for callbacks/webhooks without registered destination check.</t>
  </si>
  <si>
    <t>Registered destination allowlist</t>
  </si>
  <si>
    <t>Model/user-provided webhook/callback URL</t>
  </si>
  <si>
    <t>HTTP POST/client sink</t>
  </si>
  <si>
    <t>AIR-NET-003</t>
  </si>
  <si>
    <t>Sensitive data sent to arbitrary external endpoint</t>
  </si>
  <si>
    <t>Data Exfiltration</t>
  </si>
  <si>
    <t>agent, tool, skill</t>
  </si>
  <si>
    <t>allowlist, redaction</t>
  </si>
  <si>
    <t>Sensitive-source-to-network-sink taint rule; raise when destination is dynamic or external.</t>
  </si>
  <si>
    <t>Approved-domain allowlist + DLP/redaction</t>
  </si>
  <si>
    <t>Secrets, PII, files, env vars, retrieval context</t>
  </si>
  <si>
    <t>HTTP/email/webhook/socket upload</t>
  </si>
  <si>
    <t>rules/builtin/data_exfiltration.yaml</t>
  </si>
  <si>
    <t>https://github.com/akarshkn17/AgentGuard/blob/main/rules/builtin/data_exfiltration.yaml</t>
  </si>
  <si>
    <t>AIR-NET-004</t>
  </si>
  <si>
    <t>TLS certificate verification disabled</t>
  </si>
  <si>
    <t>TLS</t>
  </si>
  <si>
    <t>agent, mcp, tool</t>
  </si>
  <si>
    <t>Direct pattern/config rule in AI agents, MCP clients/servers, tools and model-provider clients.</t>
  </si>
  <si>
    <t>verify=False, rejectUnauthorized:false, NODE_TLS_REJECT_UNAUTHORIZED=0, insecure transport option</t>
  </si>
  <si>
    <t>rules/builtin/tls.yaml</t>
  </si>
  <si>
    <t>https://github.com/akarshkn17/AgentGuard/blob/main/rules/builtin/tls.yaml</t>
  </si>
  <si>
    <t>AIR-NET-005</t>
  </si>
  <si>
    <t>Proxy configuration allows untrusted proxy injection</t>
  </si>
  <si>
    <t>Flag tainted proxy configuration that can intercept model/tool traffic.</t>
  </si>
  <si>
    <t>Trusted fixed proxy or allowlist</t>
  </si>
  <si>
    <t>User/model/environment-controlled proxy URL</t>
  </si>
  <si>
    <t>HTTP client proxy setting</t>
  </si>
  <si>
    <t>AIR-NET-006</t>
  </si>
  <si>
    <t>Internal cloud metadata endpoint reachable from generic fetch tool</t>
  </si>
  <si>
    <t>Flag generic HTTP tools lacking private/link-local denial or containing direct metadata endpoint access.</t>
  </si>
  <si>
    <t>Explicit metadata/private-network denylist</t>
  </si>
  <si>
    <t>Generic fetch/browser/tool URL parameter</t>
  </si>
  <si>
    <t>169.254.169.254, metadata.google.internal, metadata.azure, link-local ranges</t>
  </si>
  <si>
    <t>AIR-OUT-001</t>
  </si>
  <si>
    <t>LLM-generated URL used without validation</t>
  </si>
  <si>
    <t>Output Validation</t>
  </si>
  <si>
    <t>Model-output-to-HTTP sink rule with no validator.</t>
  </si>
  <si>
    <t>URL parser + scheme/host allowlist + SSRF controls</t>
  </si>
  <si>
    <t>LLM output</t>
  </si>
  <si>
    <t>browser/fetch/webhook/download</t>
  </si>
  <si>
    <t>rules/builtin/output_validation.yaml</t>
  </si>
  <si>
    <t>https://github.com/akarshkn17/AgentGuard/blob/main/rules/builtin/output_validation.yaml</t>
  </si>
  <si>
    <t>AIR-OUT-002</t>
  </si>
  <si>
    <t>LLM-generated file path used without validation</t>
  </si>
  <si>
    <t>Model-output-to-filesystem sink rule with no path guard.</t>
  </si>
  <si>
    <t>Canonical path and root containment</t>
  </si>
  <si>
    <t>file read/write/delete/load</t>
  </si>
  <si>
    <t>AIR-OUT-003</t>
  </si>
  <si>
    <t>LLM-generated command executed</t>
  </si>
  <si>
    <t>Direct model-output-to-command-sink taint rule.</t>
  </si>
  <si>
    <t>No free-form command execution; structured allowlisted actions</t>
  </si>
  <si>
    <t>shell/process execution</t>
  </si>
  <si>
    <t>AIR-OUT-004</t>
  </si>
  <si>
    <t>LLM-generated code executed</t>
  </si>
  <si>
    <t>Direct model-output-to-code-execution-sink rule.</t>
  </si>
  <si>
    <t>Never execute untrusted generated code; sandbox only where explicitly designed</t>
  </si>
  <si>
    <t>eval/exec/interpreter/notebook execution</t>
  </si>
  <si>
    <t>AIR-OUT-005</t>
  </si>
  <si>
    <t>LLM-generated structured data used without schema validation</t>
  </si>
  <si>
    <t>Flag parse-and-use flows where parsed model output reaches sensitive sink and no validator dominates.</t>
  </si>
  <si>
    <t>Strict schema/type/enum/range validation</t>
  </si>
  <si>
    <t>LLM JSON/YAML/XML output</t>
  </si>
  <si>
    <t>privileged SDK/API/database/tool call</t>
  </si>
  <si>
    <t>AIR-OUT-006</t>
  </si>
  <si>
    <t>Untrusted YAML loaded with unsafe loader</t>
  </si>
  <si>
    <t>Deserialization</t>
  </si>
  <si>
    <t>Flag untrusted YAML at unsafe deserialization APIs.</t>
  </si>
  <si>
    <t>safe_load / restricted parser</t>
  </si>
  <si>
    <t>User/model/tool/MCP content</t>
  </si>
  <si>
    <t>yaml.load unsafe loader / FullLoader where unsafe context</t>
  </si>
  <si>
    <t>rules/builtin/deserialization.yaml</t>
  </si>
  <si>
    <t>https://github.com/akarshkn17/AgentGuard/blob/main/rules/builtin/deserialization.yaml</t>
  </si>
  <si>
    <t>AIR-OUT-007</t>
  </si>
  <si>
    <t>Untrusted XML parsed with unsafe external entity settings</t>
  </si>
  <si>
    <t>Flag untrusted XML parser configurations permitting external entities/network access.</t>
  </si>
  <si>
    <t>Disable DTD/external entities; hardened parser</t>
  </si>
  <si>
    <t>Tool/MCP/user XML</t>
  </si>
  <si>
    <t>unsafe XML parser</t>
  </si>
  <si>
    <t>AIR-PROMPT-001</t>
  </si>
  <si>
    <t>Untrusted input concatenated into system/developer prompt</t>
  </si>
  <si>
    <t>Prompt Boundary</t>
  </si>
  <si>
    <t>agent, llm_app</t>
  </si>
  <si>
    <t>retrieval, tool_result, user_input</t>
  </si>
  <si>
    <t>Flag source reaching system/developer prompt via string concat, f-string, template interpolation, format(), join(), or message mutation.</t>
  </si>
  <si>
    <t>Keep untrusted content in user/data channel; explicit trust boundary</t>
  </si>
  <si>
    <t>HTTP/query/body/chat/user input, tool result, retrieved document</t>
  </si>
  <si>
    <t>system/developer message content or privileged prompt template</t>
  </si>
  <si>
    <t>rules/builtin/prompt_boundary.yaml</t>
  </si>
  <si>
    <t>https://github.com/akarshkn17/AgentGuard/blob/main/rules/builtin/prompt_boundary.yaml</t>
  </si>
  <si>
    <t>AIR-PROMPT-002</t>
  </si>
  <si>
    <t>Retrieved content promoted to privileged instruction</t>
  </si>
  <si>
    <t>rag, agent</t>
  </si>
  <si>
    <t>Flag retriever/document output assigned to SystemMessage/developer role or prepended to privileged instructions.</t>
  </si>
  <si>
    <t>Retrieved content must remain untrusted data; delimit and policy-filter</t>
  </si>
  <si>
    <t>Retriever/vector DB/web/file/email/ticket/document content</t>
  </si>
  <si>
    <t>system/developer prompt or planner instruction field</t>
  </si>
  <si>
    <t>AIR-PROMPT-003</t>
  </si>
  <si>
    <t>Tool output promoted to privileged instruction</t>
  </si>
  <si>
    <t>Flag tool result reaching privileged prompt role without validation or fixed wrapper.</t>
  </si>
  <si>
    <t>Tool output treated as data with schema/trust validation</t>
  </si>
  <si>
    <t>Tool/MCP/plugin return value</t>
  </si>
  <si>
    <t>system/developer prompt, policy prompt, planner instruction</t>
  </si>
  <si>
    <t>AIR-PROMPT-004</t>
  </si>
  <si>
    <t>Prompt-only authorization for privileged action</t>
  </si>
  <si>
    <t>Flag privileged sink where only dominating safety condition is model/system-prompt text and no code-level authorization check exists.</t>
  </si>
  <si>
    <t>Deterministic RBAC/ABAC/policy check outside the model</t>
  </si>
  <si>
    <t>Natural-language policy such as 'only admins may...' in system prompt</t>
  </si>
  <si>
    <t>Privileged tool/action call</t>
  </si>
  <si>
    <t>AIR-PROMPT-005</t>
  </si>
  <si>
    <t>LLM output used as authorization decision</t>
  </si>
  <si>
    <t>Flag model output controlling authorization branch or permission mutation.</t>
  </si>
  <si>
    <t>Deterministic identity and policy engine</t>
  </si>
  <si>
    <t>LLM text/boolean/classification output</t>
  </si>
  <si>
    <t>allow/deny, role assignment, permission grant, authentication result</t>
  </si>
  <si>
    <t>AIR-PROMPT-006</t>
  </si>
  <si>
    <t>Secrets embedded in system prompt</t>
  </si>
  <si>
    <t>Run secret patterns specifically against prompt literals/templates and SystemMessage/developer content.</t>
  </si>
  <si>
    <t>Secret manager; never expose secret material to model context</t>
  </si>
  <si>
    <t>API keys, tokens, passwords, private keys, connection strings</t>
  </si>
  <si>
    <t>system/developer prompt literal or prompt template</t>
  </si>
  <si>
    <t>AIR-PROMPT-007</t>
  </si>
  <si>
    <t>Arbitrary message-role injection</t>
  </si>
  <si>
    <t>Flag user-controlled values used as role='system'/'developer' or entire message objects passed through without normalization.</t>
  </si>
  <si>
    <t>Server-side role allowlist; user content forced to user role</t>
  </si>
  <si>
    <t>User-controlled role/type/name fields or raw message arrays</t>
  </si>
  <si>
    <t>chat completion messages / agent message history</t>
  </si>
  <si>
    <t>AIR-PROMPT-008</t>
  </si>
  <si>
    <t>Model-generated tool arguments used without schema validation</t>
  </si>
  <si>
    <t>Flag model tool-call args reaching sensitive tool code when no schema validator or typed model validation dominates the call.</t>
  </si>
  <si>
    <t>Strict JSON schema, type/range/enum validation</t>
  </si>
  <si>
    <t>LLM tool/function-call arguments</t>
  </si>
  <si>
    <t>Tool handler parameters / SDK invocation</t>
  </si>
  <si>
    <t>AIR-PROMPT-009</t>
  </si>
  <si>
    <t>Model output directly mutates security policy or tool allowlist</t>
  </si>
  <si>
    <t>Flag model output reaching state/config fields that control permissions, enabled tools, policies, or safety settings.</t>
  </si>
  <si>
    <t>Control plane immutable to model; signed/admin-only changes</t>
  </si>
  <si>
    <t>LLM/planner output</t>
  </si>
  <si>
    <t>policy config, allowlist, guardrail toggle, permissions, tool registry</t>
  </si>
  <si>
    <t>AIR-PROMPT-010</t>
  </si>
  <si>
    <t>Untrusted tool or skill description influences privileged planning</t>
  </si>
  <si>
    <t>agent, mcp, skill</t>
  </si>
  <si>
    <t>allowlist, signature_verification</t>
  </si>
  <si>
    <t>Flag remote/mutable descriptions auto-inserted into model context when tool can perform sensitive actions and source is not allowlisted/pinned.</t>
  </si>
  <si>
    <t>Trusted registry, signature/allowlist, metadata sanitization</t>
  </si>
  <si>
    <t>Remote MCP metadata, skill markdown, plugin manifest, tool description</t>
  </si>
  <si>
    <t>planner/tool-selection prompt</t>
  </si>
  <si>
    <t>AIR-RAG-001</t>
  </si>
  <si>
    <t>Untrusted documents indexed without trust classification or sanitization</t>
  </si>
  <si>
    <t>RAG</t>
  </si>
  <si>
    <t>rag_ingestion</t>
  </si>
  <si>
    <t>vector_write</t>
  </si>
  <si>
    <t>Flag external source reaching vector-store ingestion with no validation/trust-processing function.</t>
  </si>
  <si>
    <t>Trust label, content sanitization, source allowlist, approval</t>
  </si>
  <si>
    <t>Web/upload/email/ticket/wiki/external file</t>
  </si>
  <si>
    <t>embedding/vector-store add/upsert</t>
  </si>
  <si>
    <t>rules/builtin/rag.yaml</t>
  </si>
  <si>
    <t>https://github.com/akarshkn17/AgentGuard/blob/main/rules/builtin/rag.yaml</t>
  </si>
  <si>
    <t>AIR-RAG-002</t>
  </si>
  <si>
    <t>Missing tenant/user filter on vector retrieval</t>
  </si>
  <si>
    <t>rag, vector_db</t>
  </si>
  <si>
    <t>Flag multi-user app retriever calls lacking filter/namespace bound to identity.</t>
  </si>
  <si>
    <t>Mandatory tenant/user metadata filter</t>
  </si>
  <si>
    <t>Authenticated tenant/user identity</t>
  </si>
  <si>
    <t>similarity_search/query/search</t>
  </si>
  <si>
    <t>AIR-RAG-003</t>
  </si>
  <si>
    <t>User controls metadata filter operators directly</t>
  </si>
  <si>
    <t>Flag tainted filter object passed through to vector/search backend.</t>
  </si>
  <si>
    <t>Schema and field/operator allowlist</t>
  </si>
  <si>
    <t>Request/model filter object</t>
  </si>
  <si>
    <t>vector DB filter/query</t>
  </si>
  <si>
    <t>AIR-RAG-004</t>
  </si>
  <si>
    <t>Retrieved text directly controls tool/action execution</t>
  </si>
  <si>
    <t>rag</t>
  </si>
  <si>
    <t>shell_execution, sql_query, network_request, file_write</t>
  </si>
  <si>
    <t>Cross-component taint: retriever -&gt; model -&gt; privileged sink without approval/policy guard.</t>
  </si>
  <si>
    <t>Injection-resistant boundary + deterministic policy</t>
  </si>
  <si>
    <t>retriever/document output</t>
  </si>
  <si>
    <t>command/query/file/network/privileged tool sink via model</t>
  </si>
  <si>
    <t>AIR-RAG-005</t>
  </si>
  <si>
    <t>Sensitive source documents embedded using external provider without control</t>
  </si>
  <si>
    <t>redaction</t>
  </si>
  <si>
    <t>Flag sensitive file/data source to external embeddings client without redaction or approved classification.</t>
  </si>
  <si>
    <t>Redaction/classification + approved provider policy</t>
  </si>
  <si>
    <t>PII/secrets/internal docs</t>
  </si>
  <si>
    <t>external embedding API</t>
  </si>
  <si>
    <t>AIR-RAG-006</t>
  </si>
  <si>
    <t>Raw untrusted content persisted into long-term memory</t>
  </si>
  <si>
    <t>Memory</t>
  </si>
  <si>
    <t>agent_memory</t>
  </si>
  <si>
    <t>memory_write, vector_write</t>
  </si>
  <si>
    <t>Flag raw external content written to long-term memory without validation/trust labeling.</t>
  </si>
  <si>
    <t>Sanitize, trust-label, TTL, ownership metadata</t>
  </si>
  <si>
    <t>User/tool/web/retrieval content</t>
  </si>
  <si>
    <t>persistent memory save/store/upsert</t>
  </si>
  <si>
    <t>rules/builtin/memory.yaml</t>
  </si>
  <si>
    <t>https://github.com/akarshkn17/AgentGuard/blob/main/rules/builtin/memory.yaml</t>
  </si>
  <si>
    <t>AIR-RAG-007</t>
  </si>
  <si>
    <t>Shared persistent memory lacks tenant/agent namespace</t>
  </si>
  <si>
    <t>memory_write</t>
  </si>
  <si>
    <t>Flag global/static memory collections or keys in multi-user/multi-agent code.</t>
  </si>
  <si>
    <t>Namespace keyed by authenticated tenant/user/agent</t>
  </si>
  <si>
    <t>User/agent identity</t>
  </si>
  <si>
    <t>memory store key/collection/session</t>
  </si>
  <si>
    <t>AIR-RAG-008</t>
  </si>
  <si>
    <t>Secrets persisted in agent memory</t>
  </si>
  <si>
    <t>Sensitive-source-to-memory-sink taint rule.</t>
  </si>
  <si>
    <t>Redact before persistence</t>
  </si>
  <si>
    <t>API keys, passwords, tokens, private data</t>
  </si>
  <si>
    <t>memory save/checkpoint/vector memory</t>
  </si>
  <si>
    <t>AIR-RAG-009</t>
  </si>
  <si>
    <t>User-controlled loader type enables unsafe local/network access</t>
  </si>
  <si>
    <t>document_loader</t>
  </si>
  <si>
    <t>Flag tainted loader class/type or URI scheme controlling loader selection.</t>
  </si>
  <si>
    <t>Allowlisted loader types and schemes</t>
  </si>
  <si>
    <t>User/model-selected loader/scheme/type</t>
  </si>
  <si>
    <t>generic document loader factory</t>
  </si>
  <si>
    <t>AIR-RAG-010</t>
  </si>
  <si>
    <t>Crawler follows redirects into private/internal networks</t>
  </si>
  <si>
    <t>web_crawler, loader</t>
  </si>
  <si>
    <t>Flag generic crawler with redirects enabled and no per-hop SSRF validation.</t>
  </si>
  <si>
    <t>Revalidate each redirect target; block private/link-local networks</t>
  </si>
  <si>
    <t>External URL</t>
  </si>
  <si>
    <t>crawler/browser/fetch with redirects</t>
  </si>
  <si>
    <t>AIR-SECRET-001</t>
  </si>
  <si>
    <t>Hardcoded AI provider or tool credential</t>
  </si>
  <si>
    <t>Secrets</t>
  </si>
  <si>
    <t>agent, tool, mcp, skill</t>
  </si>
  <si>
    <t>Secret scanner tuned for OpenAI, Anthropic, Google, AWS, Azure, Hugging Face, GitHub, Slack and generic bearer credentials.</t>
  </si>
  <si>
    <t>Secret manager/environment reference</t>
  </si>
  <si>
    <t>source/config literals</t>
  </si>
  <si>
    <t>rules/builtin/secrets.yaml</t>
  </si>
  <si>
    <t>https://github.com/akarshkn17/AgentGuard/blob/main/rules/builtin/secrets.yaml</t>
  </si>
  <si>
    <t>AIR-SECRET-002</t>
  </si>
  <si>
    <t>API token included in URL/query string</t>
  </si>
  <si>
    <t>Flag secret variables/literals concatenated into query parameters or URLs.</t>
  </si>
  <si>
    <t>Authorization header or secure credential mechanism</t>
  </si>
  <si>
    <t>Secret/token</t>
  </si>
  <si>
    <t>URL construction / HTTP request</t>
  </si>
  <si>
    <t>AIR-SECRET-003</t>
  </si>
  <si>
    <t>Raw prompts/responses logged</t>
  </si>
  <si>
    <t>Logging</t>
  </si>
  <si>
    <t>logging_sink</t>
  </si>
  <si>
    <t>Flag prompt/message/response objects sent to logs; raise severity when sensitive sources feed prompt.</t>
  </si>
  <si>
    <t>Structured redacted logging</t>
  </si>
  <si>
    <t>Prompt, messages, completion text</t>
  </si>
  <si>
    <t>logger/print/telemetry/trace</t>
  </si>
  <si>
    <t>rules/builtin/logging.yaml</t>
  </si>
  <si>
    <t>https://github.com/akarshkn17/AgentGuard/blob/main/rules/builtin/logging.yaml</t>
  </si>
  <si>
    <t>AIR-SECRET-004</t>
  </si>
  <si>
    <t>Tool arguments/results logged without redaction</t>
  </si>
  <si>
    <t>tool, mcp</t>
  </si>
  <si>
    <t>Flag sensitive tool/MCP objects passed to logging/tracing sinks.</t>
  </si>
  <si>
    <t>Field-level redaction</t>
  </si>
  <si>
    <t>Tool args/results, headers, tokens, file contents</t>
  </si>
  <si>
    <t>logger/trace/APM</t>
  </si>
  <si>
    <t>AIR-SECRET-005</t>
  </si>
  <si>
    <t>Debug mode exposes prompts, tool schemas, stack traces, or secrets</t>
  </si>
  <si>
    <t>Debug Exposure</t>
  </si>
  <si>
    <t>Framework-specific config rule for debug/verbose modes in deployable agent/MCP services.</t>
  </si>
  <si>
    <t>Production debug disabled</t>
  </si>
  <si>
    <t>debug=True, verbose tracing, development exception pages</t>
  </si>
  <si>
    <t>rules/builtin/debug_exposure.yaml</t>
  </si>
  <si>
    <t>https://github.com/akarshkn17/AgentGuard/blob/main/rules/builtin/debug_exposure.yaml</t>
  </si>
  <si>
    <t>AIR-SECRET-006</t>
  </si>
  <si>
    <t>Entire environment exported to model/tool context</t>
  </si>
  <si>
    <t>privileged_prompt, network_request, logging_sink</t>
  </si>
  <si>
    <t>Flag dict(os.environ), process.env spreading, env dumps, or full environment serialization into model/tool contexts.</t>
  </si>
  <si>
    <t>Named environment-variable allowlist</t>
  </si>
  <si>
    <t>os.environ/process.env</t>
  </si>
  <si>
    <t>prompt/tool args/network/log</t>
  </si>
  <si>
    <t>AIR-SKILL-001</t>
  </si>
  <si>
    <t>Skill executes shell command with interpolated user/model variables</t>
  </si>
  <si>
    <t>Skill Security</t>
  </si>
  <si>
    <t>Analyze skill code and Markdown command templates for untrusted variable interpolation into shell commands.</t>
  </si>
  <si>
    <t>Typed parameters + fixed command mapping</t>
  </si>
  <si>
    <t>Skill input/model output placeholders</t>
  </si>
  <si>
    <t>shell/terminal command in skill implementation</t>
  </si>
  <si>
    <t>rules/builtin/skill_security.yaml</t>
  </si>
  <si>
    <t>https://github.com/akarshkn17/AgentGuard/blob/main/rules/builtin/skill_security.yaml</t>
  </si>
  <si>
    <t>AIR-SKILL-002</t>
  </si>
  <si>
    <t>Skill downloads and executes remote script</t>
  </si>
  <si>
    <t>Pattern rule across Markdown, YAML, shell snippets, Python/JS implementation.</t>
  </si>
  <si>
    <t>Pinned artifact + checksum/signature</t>
  </si>
  <si>
    <t>curl|bash, wget|sh, Invoke-WebRequest + execution</t>
  </si>
  <si>
    <t>AIR-SKILL-003</t>
  </si>
  <si>
    <t>Skill loads executable code from writable/untrusted directory</t>
  </si>
  <si>
    <t>path_input, retrieval</t>
  </si>
  <si>
    <t>Flag plugin discovery/import from current directory, tmp, uploads, workspace, or user-controlled paths.</t>
  </si>
  <si>
    <t>Read-only trusted skill directory and signed artifacts</t>
  </si>
  <si>
    <t>Workspace, temp, upload, user-writable skill directory</t>
  </si>
  <si>
    <t>plugin/skill loader/import</t>
  </si>
  <si>
    <t>AIR-SKILL-004</t>
  </si>
  <si>
    <t>Skill source is fetched from mutable remote branch/tag</t>
  </si>
  <si>
    <t>package_install</t>
  </si>
  <si>
    <t>Flag main/master/latest/HEAD/floating version references used to install or load skills/plugins.</t>
  </si>
  <si>
    <t>Commit SHA/digest/signature pinning</t>
  </si>
  <si>
    <t>Git URL/package/model/skill URL</t>
  </si>
  <si>
    <t>runtime install/load</t>
  </si>
  <si>
    <t>AIR-SKILL-005</t>
  </si>
  <si>
    <t>Skill requests broad secret/environment access</t>
  </si>
  <si>
    <t>Flag skills enumerating all environment variables or reading known cloud/token credential names unrelated to narrow purpose.</t>
  </si>
  <si>
    <t>Explicit named-secret allowlist</t>
  </si>
  <si>
    <t>os.environ/process.env/credential stores</t>
  </si>
  <si>
    <t>network/tool output/logging</t>
  </si>
  <si>
    <t>AIR-SKILL-006</t>
  </si>
  <si>
    <t>Skill contains direct secret exfiltration path</t>
  </si>
  <si>
    <t>Taint sensitive secret sources to external network sinks inside skill implementation.</t>
  </si>
  <si>
    <t>No secret egress; DLP/allowlist</t>
  </si>
  <si>
    <t>env vars, credential files, tokens, SSH/cloud credentials</t>
  </si>
  <si>
    <t>HTTP/email/webhook/socket</t>
  </si>
  <si>
    <t>AIR-SKILL-007</t>
  </si>
  <si>
    <t>Skill can modify security configuration or policy files</t>
  </si>
  <si>
    <t>file_write, policy_mutation</t>
  </si>
  <si>
    <t>Flag skill code writing known security/policy/agent configuration paths.</t>
  </si>
  <si>
    <t>Admin-only control plane outside skill runtime</t>
  </si>
  <si>
    <t>Skill/model input</t>
  </si>
  <si>
    <t>guardrail config, policy files, auth config, tool registry</t>
  </si>
  <si>
    <t>AIR-SKILL-008</t>
  </si>
  <si>
    <t>Skill declares wildcard or excessive tool/capability permissions</t>
  </si>
  <si>
    <t>skill_manifest</t>
  </si>
  <si>
    <t>Manifest rule for wildcard/broad capabilities and dangerous permission combinations.</t>
  </si>
  <si>
    <t>Least-privilege manifest</t>
  </si>
  <si>
    <t>permissions:* / tools:* / filesystem:* / network:* / unrestricted capabilities</t>
  </si>
  <si>
    <t>AIR-SKILL-009</t>
  </si>
  <si>
    <t>Skill executes package manager with model-controlled package name</t>
  </si>
  <si>
    <t>Flag tainted package names or URLs reaching package-manager process/API.</t>
  </si>
  <si>
    <t>Fixed allowlisted dependencies</t>
  </si>
  <si>
    <t>Model/user package/repository identifier</t>
  </si>
  <si>
    <t>pip/npm/uv/poetry/npx install</t>
  </si>
  <si>
    <t>AIR-SKILL-010</t>
  </si>
  <si>
    <t>Skill modifies its own instructions or source from model output</t>
  </si>
  <si>
    <t>Flag model output written to skill definition, manifest, plugin code, or loader configuration.</t>
  </si>
  <si>
    <t>Immutable signed skill definition</t>
  </si>
  <si>
    <t>Model output</t>
  </si>
  <si>
    <t>skill.md/plugin manifest/source/config write</t>
  </si>
  <si>
    <t>NVS-AR1</t>
  </si>
  <si>
    <t>Refusal Suppression</t>
  </si>
  <si>
    <t>skillspector</t>
  </si>
  <si>
    <t>NVIDIA SkillSpector</t>
  </si>
  <si>
    <t>skill, plugin, mcp_server, mcp_tool</t>
  </si>
  <si>
    <t>Executed by NVIDIA SkillSpector rule AR1.</t>
  </si>
  <si>
    <t>rules/integrations/skillspector.yaml</t>
  </si>
  <si>
    <t>https://github.com/akarshkn17/AgentGuard/blob/main/rules/integrations/skillspector.yaml</t>
  </si>
  <si>
    <t>NVS-AR2</t>
  </si>
  <si>
    <t>Disclaimer Suppression</t>
  </si>
  <si>
    <t>Executed by NVIDIA SkillSpector rule AR2.</t>
  </si>
  <si>
    <t>NVS-AR3</t>
  </si>
  <si>
    <t>Safety Policy Nullification</t>
  </si>
  <si>
    <t>Executed by NVIDIA SkillSpector rule AR3.</t>
  </si>
  <si>
    <t>NVS-AST1</t>
  </si>
  <si>
    <t>exec() Call</t>
  </si>
  <si>
    <t>Executed by NVIDIA SkillSpector rule AST1.</t>
  </si>
  <si>
    <t>NVS-AST2</t>
  </si>
  <si>
    <t>eval() Call</t>
  </si>
  <si>
    <t>Executed by NVIDIA SkillSpector rule AST2.</t>
  </si>
  <si>
    <t>NVS-AST3</t>
  </si>
  <si>
    <t>Dynamic Import</t>
  </si>
  <si>
    <t>Executed by NVIDIA SkillSpector rule AST3.</t>
  </si>
  <si>
    <t>NVS-AST4</t>
  </si>
  <si>
    <t>subprocess Call</t>
  </si>
  <si>
    <t>Executed by NVIDIA SkillSpector rule AST4.</t>
  </si>
  <si>
    <t>NVS-AST5</t>
  </si>
  <si>
    <t>os.system or Exec-Family Call</t>
  </si>
  <si>
    <t>Executed by NVIDIA SkillSpector rule AST5.</t>
  </si>
  <si>
    <t>NVS-AST6</t>
  </si>
  <si>
    <t>compile() Call</t>
  </si>
  <si>
    <t>Executed by NVIDIA SkillSpector rule AST6.</t>
  </si>
  <si>
    <t>NVS-AST7</t>
  </si>
  <si>
    <t>Dynamic getattr()</t>
  </si>
  <si>
    <t>Executed by NVIDIA SkillSpector rule AST7.</t>
  </si>
  <si>
    <t>NVS-AST8</t>
  </si>
  <si>
    <t>Dangerous Execution Chain</t>
  </si>
  <si>
    <t>Executed by NVIDIA SkillSpector rule AST8.</t>
  </si>
  <si>
    <t>NVS-AST9</t>
  </si>
  <si>
    <t>Reflective getattr() Sink</t>
  </si>
  <si>
    <t>Executed by NVIDIA SkillSpector rule AST9.</t>
  </si>
  <si>
    <t>NVS-E1</t>
  </si>
  <si>
    <t>External Transmission</t>
  </si>
  <si>
    <t>Executed by NVIDIA SkillSpector rule E1.</t>
  </si>
  <si>
    <t>NVS-E2</t>
  </si>
  <si>
    <t>Environment Variable Harvesting</t>
  </si>
  <si>
    <t>Executed by NVIDIA SkillSpector rule E2.</t>
  </si>
  <si>
    <t>NVS-E3</t>
  </si>
  <si>
    <t>File System Enumeration</t>
  </si>
  <si>
    <t>Executed by NVIDIA SkillSpector rule E3.</t>
  </si>
  <si>
    <t>NVS-E4</t>
  </si>
  <si>
    <t>Context Leakage</t>
  </si>
  <si>
    <t>Executed by NVIDIA SkillSpector rule E4.</t>
  </si>
  <si>
    <t>NVS-EA1</t>
  </si>
  <si>
    <t>Unrestricted Tool Access</t>
  </si>
  <si>
    <t>Executed by NVIDIA SkillSpector rule EA1.</t>
  </si>
  <si>
    <t>NVS-EA2</t>
  </si>
  <si>
    <t>Autonomous Decision Making</t>
  </si>
  <si>
    <t>Executed by NVIDIA SkillSpector rule EA2.</t>
  </si>
  <si>
    <t>NVS-EA3</t>
  </si>
  <si>
    <t>Scope Creep</t>
  </si>
  <si>
    <t>Executed by NVIDIA SkillSpector rule EA3.</t>
  </si>
  <si>
    <t>NVS-EA4</t>
  </si>
  <si>
    <t>Unbounded Resource Access</t>
  </si>
  <si>
    <t>Executed by NVIDIA SkillSpector rule EA4.</t>
  </si>
  <si>
    <t>NVS-LP1</t>
  </si>
  <si>
    <t>Underdeclared Capability</t>
  </si>
  <si>
    <t>Executed by NVIDIA SkillSpector rule LP1.</t>
  </si>
  <si>
    <t>NVS-LP2</t>
  </si>
  <si>
    <t>Wildcard Permission</t>
  </si>
  <si>
    <t>Executed by NVIDIA SkillSpector rule LP2.</t>
  </si>
  <si>
    <t>NVS-LP3</t>
  </si>
  <si>
    <t>Missing Permission Declaration</t>
  </si>
  <si>
    <t>Executed by NVIDIA SkillSpector rule LP3.</t>
  </si>
  <si>
    <t>NVS-LP4</t>
  </si>
  <si>
    <t>Overdeclared Permission</t>
  </si>
  <si>
    <t>Executed by NVIDIA SkillSpector rule LP4.</t>
  </si>
  <si>
    <t>NVS-MP1</t>
  </si>
  <si>
    <t>Persistent Context Injection</t>
  </si>
  <si>
    <t>Executed by NVIDIA SkillSpector rule MP1.</t>
  </si>
  <si>
    <t>NVS-MP2</t>
  </si>
  <si>
    <t>Context Window Stuffing</t>
  </si>
  <si>
    <t>Executed by NVIDIA SkillSpector rule MP2.</t>
  </si>
  <si>
    <t>NVS-MP3</t>
  </si>
  <si>
    <t>Memory Manipulation</t>
  </si>
  <si>
    <t>Executed by NVIDIA SkillSpector rule MP3.</t>
  </si>
  <si>
    <t>NVS-OH1</t>
  </si>
  <si>
    <t>Unvalidated Output Injection</t>
  </si>
  <si>
    <t>Executed by NVIDIA SkillSpector rule OH1.</t>
  </si>
  <si>
    <t>NVS-OH2</t>
  </si>
  <si>
    <t>Cross-Context Output</t>
  </si>
  <si>
    <t>Executed by NVIDIA SkillSpector rule OH2.</t>
  </si>
  <si>
    <t>NVS-OH3</t>
  </si>
  <si>
    <t>Unbounded Output</t>
  </si>
  <si>
    <t>Executed by NVIDIA SkillSpector rule OH3.</t>
  </si>
  <si>
    <t>NVS-P1</t>
  </si>
  <si>
    <t>Instruction Override</t>
  </si>
  <si>
    <t>Executed by NVIDIA SkillSpector rule P1.</t>
  </si>
  <si>
    <t>NVS-P2</t>
  </si>
  <si>
    <t>Hidden Instructions</t>
  </si>
  <si>
    <t>Executed by NVIDIA SkillSpector rule P2.</t>
  </si>
  <si>
    <t>NVS-P3</t>
  </si>
  <si>
    <t>Exfiltration Commands</t>
  </si>
  <si>
    <t>Executed by NVIDIA SkillSpector rule P3.</t>
  </si>
  <si>
    <t>NVS-P4</t>
  </si>
  <si>
    <t>Behavior Manipulation</t>
  </si>
  <si>
    <t>Executed by NVIDIA SkillSpector rule P4.</t>
  </si>
  <si>
    <t>NVS-P5</t>
  </si>
  <si>
    <t>Harmful Content</t>
  </si>
  <si>
    <t>Executed by NVIDIA SkillSpector rule P5.</t>
  </si>
  <si>
    <t>NVS-P6</t>
  </si>
  <si>
    <t>Direct System Prompt Leakage</t>
  </si>
  <si>
    <t>Executed by NVIDIA SkillSpector rule P6.</t>
  </si>
  <si>
    <t>NVS-P7</t>
  </si>
  <si>
    <t>Indirect System Prompt Extraction</t>
  </si>
  <si>
    <t>Executed by NVIDIA SkillSpector rule P7.</t>
  </si>
  <si>
    <t>NVS-P8</t>
  </si>
  <si>
    <t>Tool-Based Prompt Exfiltration</t>
  </si>
  <si>
    <t>Executed by NVIDIA SkillSpector rule P8.</t>
  </si>
  <si>
    <t>NVS-PE1</t>
  </si>
  <si>
    <t>Excessive Permissions</t>
  </si>
  <si>
    <t>Executed by NVIDIA SkillSpector rule PE1.</t>
  </si>
  <si>
    <t>NVS-PE2</t>
  </si>
  <si>
    <t>Sudo or Root Execution</t>
  </si>
  <si>
    <t>Executed by NVIDIA SkillSpector rule PE2.</t>
  </si>
  <si>
    <t>NVS-PE3</t>
  </si>
  <si>
    <t>Credential Access</t>
  </si>
  <si>
    <t>Executed by NVIDIA SkillSpector rule PE3.</t>
  </si>
  <si>
    <t>NVS-RA1</t>
  </si>
  <si>
    <t>Self-Modification</t>
  </si>
  <si>
    <t>Executed by NVIDIA SkillSpector rule RA1.</t>
  </si>
  <si>
    <t>NVS-RA2</t>
  </si>
  <si>
    <t>Session Persistence</t>
  </si>
  <si>
    <t>Executed by NVIDIA SkillSpector rule RA2.</t>
  </si>
  <si>
    <t>NVS-SC1</t>
  </si>
  <si>
    <t>Unpinned Dependencies</t>
  </si>
  <si>
    <t>Executed by NVIDIA SkillSpector rule SC1.</t>
  </si>
  <si>
    <t>NVS-SC2</t>
  </si>
  <si>
    <t>External Script Fetching</t>
  </si>
  <si>
    <t>Executed by NVIDIA SkillSpector rule SC2.</t>
  </si>
  <si>
    <t>NVS-SC3</t>
  </si>
  <si>
    <t>Obfuscated Code</t>
  </si>
  <si>
    <t>Executed by NVIDIA SkillSpector rule SC3.</t>
  </si>
  <si>
    <t>NVS-SC4</t>
  </si>
  <si>
    <t>Known Vulnerable Dependencies</t>
  </si>
  <si>
    <t>Executed by NVIDIA SkillSpector rule SC4.</t>
  </si>
  <si>
    <t>NVS-SC5</t>
  </si>
  <si>
    <t>Abandoned Dependencies</t>
  </si>
  <si>
    <t>Executed by NVIDIA SkillSpector rule SC5.</t>
  </si>
  <si>
    <t>NVS-SC6</t>
  </si>
  <si>
    <t>Typosquatting</t>
  </si>
  <si>
    <t>Executed by NVIDIA SkillSpector rule SC6.</t>
  </si>
  <si>
    <t>NVS-TM1</t>
  </si>
  <si>
    <t>Tool Parameter Abuse</t>
  </si>
  <si>
    <t>Executed by NVIDIA SkillSpector rule TM1.</t>
  </si>
  <si>
    <t>NVS-TM2</t>
  </si>
  <si>
    <t>Tool Chaining Abuse</t>
  </si>
  <si>
    <t>Executed by NVIDIA SkillSpector rule TM2.</t>
  </si>
  <si>
    <t>NVS-TM3</t>
  </si>
  <si>
    <t>Unsafe Tool Defaults</t>
  </si>
  <si>
    <t>Executed by NVIDIA SkillSpector rule TM3.</t>
  </si>
  <si>
    <t>NVS-TP1</t>
  </si>
  <si>
    <t>Tool Metadata Hidden Instructions</t>
  </si>
  <si>
    <t>Executed by NVIDIA SkillSpector rule TP1.</t>
  </si>
  <si>
    <t>NVS-TP2</t>
  </si>
  <si>
    <t>Tool Metadata Unicode Deception</t>
  </si>
  <si>
    <t>Executed by NVIDIA SkillSpector rule TP2.</t>
  </si>
  <si>
    <t>NVS-TP3</t>
  </si>
  <si>
    <t>Parameter Description Injection</t>
  </si>
  <si>
    <t>Executed by NVIDIA SkillSpector rule TP3.</t>
  </si>
  <si>
    <t>NVS-TP4</t>
  </si>
  <si>
    <t>Description-Behavior Mismatch</t>
  </si>
  <si>
    <t>Executed by NVIDIA SkillSpector rule TP4.</t>
  </si>
  <si>
    <t>NVS-TR1</t>
  </si>
  <si>
    <t>Overly Broad Trigger</t>
  </si>
  <si>
    <t>Executed by NVIDIA SkillSpector rule TR1.</t>
  </si>
  <si>
    <t>NVS-TR2</t>
  </si>
  <si>
    <t>Shadow Command Trigger</t>
  </si>
  <si>
    <t>Executed by NVIDIA SkillSpector rule TR2.</t>
  </si>
  <si>
    <t>NVS-TR3</t>
  </si>
  <si>
    <t>Keyword Baiting Trigger</t>
  </si>
  <si>
    <t>Executed by NVIDIA SkillSpector rule TR3.</t>
  </si>
  <si>
    <t>NVS-TT1</t>
  </si>
  <si>
    <t>Direct Taint Flow</t>
  </si>
  <si>
    <t>Executed by NVIDIA SkillSpector rule TT1.</t>
  </si>
  <si>
    <t>NVS-TT2</t>
  </si>
  <si>
    <t>Variable-Mediated Taint Flow</t>
  </si>
  <si>
    <t>Executed by NVIDIA SkillSpector rule TT2.</t>
  </si>
  <si>
    <t>NVS-TT3</t>
  </si>
  <si>
    <t>Credential Exfiltration Chain</t>
  </si>
  <si>
    <t>Executed by NVIDIA SkillSpector rule TT3.</t>
  </si>
  <si>
    <t>NVS-TT4</t>
  </si>
  <si>
    <t>File Read to Network Exfiltration</t>
  </si>
  <si>
    <t>Executed by NVIDIA SkillSpector rule TT4.</t>
  </si>
  <si>
    <t>NVS-TT5</t>
  </si>
  <si>
    <t>External Input to Code Execution</t>
  </si>
  <si>
    <t>Executed by NVIDIA SkillSpector rule TT5.</t>
  </si>
  <si>
    <t>NVS-YR1</t>
  </si>
  <si>
    <t>Malware Signature Match</t>
  </si>
  <si>
    <t>Executed by NVIDIA SkillSpector rule YR1.</t>
  </si>
  <si>
    <t>NVS-YR2</t>
  </si>
  <si>
    <t>Webshell Signature Match</t>
  </si>
  <si>
    <t>Executed by NVIDIA SkillSpector rule YR2.</t>
  </si>
  <si>
    <t>NVS-YR3</t>
  </si>
  <si>
    <t>Cryptominer Signature Match</t>
  </si>
  <si>
    <t>Executed by NVIDIA SkillSpector rule YR3.</t>
  </si>
  <si>
    <t>NVS-YR4</t>
  </si>
  <si>
    <t>Hack Tool or Exploit Match</t>
  </si>
  <si>
    <t>Executed by NVIDIA SkillSpector rule YR4.</t>
  </si>
  <si>
    <t>Entity_Type</t>
  </si>
  <si>
    <t>What it represents</t>
  </si>
  <si>
    <t>Typical discovery evidence</t>
  </si>
  <si>
    <t>Version signal</t>
  </si>
  <si>
    <t>LLM-backed autonomous or semi-autonomous agent</t>
  </si>
  <si>
    <t>Agent()/RealtimeAgent()/framework agent constructor, agent config</t>
  </si>
  <si>
    <t>Definition hash + framework/model version + Git commit</t>
  </si>
  <si>
    <t>sub_agent</t>
  </si>
  <si>
    <t>Agent invoked/delegated by another agent</t>
  </si>
  <si>
    <t>handoffs, graph nodes, agents-as-tools, delegation config</t>
  </si>
  <si>
    <t>Definition hash + parent relationship + Git commit</t>
  </si>
  <si>
    <t>orchestrator</t>
  </si>
  <si>
    <t>Coordinator/planner/router supervising agents</t>
  </si>
  <si>
    <t>StateGraph/supervisor/router/planner constructs</t>
  </si>
  <si>
    <t>Graph/config hash + framework version</t>
  </si>
  <si>
    <t>Local function/API callable by an agent</t>
  </si>
  <si>
    <t>@tool, @function_tool, tool wrappers, bound tool lists</t>
  </si>
  <si>
    <t>Function hash + schema/signature hash</t>
  </si>
  <si>
    <t>function_tool</t>
  </si>
  <si>
    <t>Function-call tool with typed schema</t>
  </si>
  <si>
    <t>SDK function-tool decorators / JSON schema</t>
  </si>
  <si>
    <t>Function + schema hash</t>
  </si>
  <si>
    <t>Model Context Protocol server</t>
  </si>
  <si>
    <t>MCPServer / legacy FastMCP / MCP server config</t>
  </si>
  <si>
    <t>Server definition hash + MCP package/spec version</t>
  </si>
  <si>
    <t>MCP client connection/integration</t>
  </si>
  <si>
    <t>stdio/Streamable HTTP/SSE client creation</t>
  </si>
  <si>
    <t>Endpoint/config hash + MCP package version</t>
  </si>
  <si>
    <t>mcp_tool</t>
  </si>
  <si>
    <t>Tool exposed by an MCP server</t>
  </si>
  <si>
    <t>@mcp.tool / @server.tool</t>
  </si>
  <si>
    <t>Function/schema hash</t>
  </si>
  <si>
    <t>mcp_resource</t>
  </si>
  <si>
    <t>Resource exposed by MCP</t>
  </si>
  <si>
    <t>@mcp.resource / resources config</t>
  </si>
  <si>
    <t>Resource handler/template hash</t>
  </si>
  <si>
    <t>mcp_prompt</t>
  </si>
  <si>
    <t>Prompt exposed by MCP</t>
  </si>
  <si>
    <t>@mcp.prompt / prompt config</t>
  </si>
  <si>
    <t>Prompt handler/template hash</t>
  </si>
  <si>
    <t>skill</t>
  </si>
  <si>
    <t>Skill/instruction bundle consumed by an agent</t>
  </si>
  <si>
    <t>SKILL.md, skill YAML/JSON, referenced scripts</t>
  </si>
  <si>
    <t>Skill content hash + referenced artifact hashes</t>
  </si>
  <si>
    <t>plugin</t>
  </si>
  <si>
    <t>Dynamically loaded extension/plugin</t>
  </si>
  <si>
    <t>plugin manifest, loader registration, package entry point</t>
  </si>
  <si>
    <t>Manifest/package/digest version</t>
  </si>
  <si>
    <t>model</t>
  </si>
  <si>
    <t>LLM/ML model used by an AI component</t>
  </si>
  <si>
    <t>model/client constructor, model= identifier</t>
  </si>
  <si>
    <t>Model name + revision/digest + provider</t>
  </si>
  <si>
    <t>embedding_model</t>
  </si>
  <si>
    <t>Embedding model for RAG/vectorization</t>
  </si>
  <si>
    <t>embedding client/model constructor</t>
  </si>
  <si>
    <t>Model name + revision/provider</t>
  </si>
  <si>
    <t>model_provider</t>
  </si>
  <si>
    <t>External/internal model serving provider</t>
  </si>
  <si>
    <t>OpenAI-compatible/Vertex/Anthropic/Azure/custom endpoint</t>
  </si>
  <si>
    <t>Provider endpoint/config version</t>
  </si>
  <si>
    <t>retriever</t>
  </si>
  <si>
    <t>Component retrieving contextual documents</t>
  </si>
  <si>
    <t>retriever constructors/as_retriever/similarity_search</t>
  </si>
  <si>
    <t>Definition/config hash</t>
  </si>
  <si>
    <t>vector_store</t>
  </si>
  <si>
    <t>Vector database/index</t>
  </si>
  <si>
    <t>Chroma/FAISS/Pinecone/Qdrant/Weaviate/etc.</t>
  </si>
  <si>
    <t>Index/config/schema version</t>
  </si>
  <si>
    <t>rag_pipeline</t>
  </si>
  <si>
    <t>End-to-end retrieval augmented generation chain</t>
  </si>
  <si>
    <t>retriever + prompt + model composition</t>
  </si>
  <si>
    <t>Pipeline graph hash</t>
  </si>
  <si>
    <t>memory</t>
  </si>
  <si>
    <t>Short/long-term agent memory</t>
  </si>
  <si>
    <t>memory/checkpointer/store constructs</t>
  </si>
  <si>
    <t>Schema/config hash</t>
  </si>
  <si>
    <t>checkpoint_store</t>
  </si>
  <si>
    <t>Workflow/agent state checkpoint backend</t>
  </si>
  <si>
    <t>MemorySaver/PostgresSaver/RedisSaver/etc.</t>
  </si>
  <si>
    <t>Backend/schema/config version</t>
  </si>
  <si>
    <t>prompt</t>
  </si>
  <si>
    <t>System/developer/prompt template artifact</t>
  </si>
  <si>
    <t>PromptTemplate/SystemMessage/template files</t>
  </si>
  <si>
    <t>Prompt content hash</t>
  </si>
  <si>
    <t>guardrail</t>
  </si>
  <si>
    <t>Input/output/action policy or guardrail</t>
  </si>
  <si>
    <t>guardrail hooks, policy middleware, validators</t>
  </si>
  <si>
    <t>Policy/config content hash</t>
  </si>
  <si>
    <t>api_endpoint</t>
  </si>
  <si>
    <t>HTTP/RPC endpoint exposing an AI capability</t>
  </si>
  <si>
    <t>route decorators, API gateway/service config</t>
  </si>
  <si>
    <t>Route/config hash</t>
  </si>
  <si>
    <t>identity</t>
  </si>
  <si>
    <t>Agent/workload/service identity</t>
  </si>
  <si>
    <t>service account, IAM role, workload identity, OAuth client</t>
  </si>
  <si>
    <t>Principal/role policy version</t>
  </si>
  <si>
    <t>deployment</t>
  </si>
  <si>
    <t>Runtime deployment of AI component</t>
  </si>
  <si>
    <t>Kubernetes/Terraform/Docker/cloud service config</t>
  </si>
  <si>
    <t>IaC/image digest/Git commit</t>
  </si>
  <si>
    <t>dataset</t>
  </si>
  <si>
    <t>Training/evaluation/RAG knowledge dataset</t>
  </si>
  <si>
    <t>dataset loaders, knowledge-base config</t>
  </si>
  <si>
    <t>Dataset version/digest/lineage ID</t>
  </si>
  <si>
    <t>sandbox_executor</t>
  </si>
  <si>
    <t>Isolated code/command execution environment</t>
  </si>
  <si>
    <t>sandbox/container executor/tool runtime</t>
  </si>
  <si>
    <t>Image/runtime/policy version</t>
  </si>
  <si>
    <t>remote_agent</t>
  </si>
  <si>
    <t>Externally hosted/remote agent capability</t>
  </si>
  <si>
    <t>agent endpoint, remote agent config/card</t>
  </si>
  <si>
    <t>Endpoint + advertised capability/version</t>
  </si>
  <si>
    <t>Mapped Security Controls</t>
  </si>
  <si>
    <t>SEC_06 (Structured Output Schema + Tool Name Auth); IAM_04 (User Identity Propagation - AgentAuthContext); SEC_18 (Human-in-the-Loop for High-Risk Actions); MON_04 (Tool Invocation Monitoring + Auto-Response); IR_01 (Multi-Level Kill-Switch Model)</t>
  </si>
  <si>
    <t>SEC_16 (Recursive Loop &amp; Runaway Prevention); BIZ_06 (Cost and Abuse Budgeting); MON_08 (Behavioral Analytics &amp; Anomaly Detection); IR_01 (Multi-Level Kill-Switch Model)</t>
  </si>
  <si>
    <t>SEC_07 (Token Budget Monitoring - Prompt Stuffing Defense); BIZ_06 (Cost and Abuse Budgeting); MON_08 (Behavioral Analytics &amp; Anomaly Detection)</t>
  </si>
  <si>
    <t>REG_02 (Agent Manifest Schema Validation); MEM_01 (Memory Store Classification and Ownership); MEM_02 (Memory Read Authorization and ACL Filtering); MON_08 (Behavioral Analytics &amp; Anomaly Detection)</t>
  </si>
  <si>
    <t>SEC_06 (Structured Output Schema + Tool Name Auth); REG_02 (Agent Manifest Schema Validation); SEC_21 (Policy-as-Code for AI Controls); MON_04 (Tool Invocation Monitoring + Auto-Response); IR_01 (Multi-Level Kill-Switch Model)</t>
  </si>
  <si>
    <t>REG_01 (Authoritative Agent Registry); REG_03 (AIBOM Required for Every Agent); SEC_15 (Agent Registry Compliance Gate); REG_07 (Runtime Drift Detection Against Registry); SEC_20 (AIBOM - AI Bill of Materials); IR_01 (Multi-Level Kill-Switch Model)</t>
  </si>
  <si>
    <t>SEC_06 (Structured Output Schema + Tool Name Auth); REG_02 (Agent Manifest Schema Validation); SEC_21 (Policy-as-Code for AI Controls); MON_04 (Tool Invocation Monitoring + Auto-Response)</t>
  </si>
  <si>
    <t>IAM_03 (Least-Privilege Resource-Scoped IAM); IAM_14 (Agent-to-Agent Trust Scoping); REG_02 (Agent Manifest Schema Validation); SEC_15 (Agent Registry Compliance Gate); MON_04 (Tool Invocation Monitoring + Auto-Response); IR_01 (Multi-Level Kill-Switch Model)</t>
  </si>
  <si>
    <t>IAM_05 (A2A Delegation Bundle Validation); IAM_14 (Agent-to-Agent Trust Scoping); SEC_04 (A2A Inbound Content Filtering); MON_03 (Decision Trace Logging - Tool, Policy and Evidence Trace); IR_01 (Multi-Level Kill-Switch Model)</t>
  </si>
  <si>
    <t>IAM_04 (User Identity Propagation - AgentAuthContext); IAM_03 (Least-Privilege Resource-Scoped IAM); MON_03 (Decision Trace Logging - Tool, Policy and Evidence Trace); SEC_18 (Human-in-the-Loop for High-Risk Actions)</t>
  </si>
  <si>
    <t>IAM_05 (A2A Delegation Bundle Validation); IAM_04 (User Identity Propagation - AgentAuthContext); IAM_14 (Agent-to-Agent Trust Scoping); IAM_13 (Federated Identity Subject Consistency Verification); MON_03 (Decision Trace Logging - Tool, Policy and Evidence Trace); IR_01 (Multi-Level Kill-Switch Model)</t>
  </si>
  <si>
    <t>IAM_13 (Federated Identity Subject Consistency Verification); IAM_05 (A2A Delegation Bundle Validation); IAM_04 (User Identity Propagation - AgentAuthContext); MON_03 (Decision Trace Logging - Tool, Policy and Evidence Trace); IR_01 (Multi-Level Kill-Switch Model)</t>
  </si>
  <si>
    <t>IAM_03 (Least-Privilege Resource-Scoped IAM); IAM_12 (Periodic Access Review &amp; Recertification); REG_04 (Policy-as-Code Coverage for Must Controls); SEC_15 (Agent Registry Compliance Gate); IR_01 (Multi-Level Kill-Switch Model)</t>
  </si>
  <si>
    <t>IAM_03 (Least-Privilege Resource-Scoped IAM); IAM_04 (User Identity Propagation - AgentAuthContext); REG_02 (Agent Manifest Schema Validation); SEC_15 (Agent Registry Compliance Gate)</t>
  </si>
  <si>
    <t>SEC_18 (Human-in-the-Loop for High-Risk Actions); BIZ_02 (High-Risk Action Catalog); IAM_11 (Conditional Access for Agent Admin Operations); MON_03 (Decision Trace Logging - Tool, Policy and Evidence Trace)</t>
  </si>
  <si>
    <t>IAM_04 (User Identity Propagation - AgentAuthContext); IAM_03 (Least-Privilege Resource-Scoped IAM); MON_03 (Decision Trace Logging - Tool, Policy and Evidence Trace)</t>
  </si>
  <si>
    <t>IAM_02 (Workload Identity - Zero Static Key Files); ENC_01 (Secrets Retrieval via Platform Module - No Bypass); IAM_09 (Non-Human Identity (NHI) Lifecycle Management); SEC_11 (CI/CD Gates - Secret Scan, SAST, Signed Skills, Pinned Models)</t>
  </si>
  <si>
    <t>IAM_03 (Least-Privilege Resource-Scoped IAM); SEC_11 (CI/CD Gates - Secret Scan, SAST, Signed Skills, Pinned Models); REG_04 (Policy-as-Code Coverage for Must Controls)</t>
  </si>
  <si>
    <t>NET_06 (Per-Agent Egress Allowlist); NET_11 (Network Segmentation by Trust Tier); NET_12 (Data Exfiltration Perimeter (Egress DLP)); MON_11 (Security Threat Detection Integration)</t>
  </si>
  <si>
    <t>NET_01 (WAF-Capable Edge for Every Agent); NET_04 (Private Origin Configuration); MCP_02 (MCP Authentication and Authorization); NET_09 (Geo &amp; IP Allowlisting)</t>
  </si>
  <si>
    <t>SEC_11 (CI/CD Gates - Secret Scan, SAST, Signed Skills, Pinned Models); MON_04 (Tool Invocation Monitoring + Auto-Response); SEC_06 (Structured Output Schema + Tool Name Auth); SEC_18 (Human-in-the-Loop for High-Risk Actions)</t>
  </si>
  <si>
    <t>SEC_11 (CI/CD Gates - Secret Scan, SAST, Signed Skills, Pinned Models); MON_04 (Tool Invocation Monitoring + Auto-Response); SEC_06 (Structured Output Schema + Tool Name Auth); IR_01 (Multi-Level Kill-Switch Model)</t>
  </si>
  <si>
    <t>SEC_11 (CI/CD Gates - Secret Scan, SAST, Signed Skills, Pinned Models); MON_04 (Tool Invocation Monitoring + Auto-Response); SEC_06 (Structured Output Schema + Tool Name Auth)</t>
  </si>
  <si>
    <t>SEC_11 (CI/CD Gates - Secret Scan, SAST, Signed Skills, Pinned Models); MON_04 (Tool Invocation Monitoring + Auto-Response); SEC_20 (AIBOM - AI Bill of Materials); REG_03 (AIBOM Required for Every Agent); REG_05 (Agent Risk Tiering and Promotion Workflow); IR_01 (Multi-Level Kill-Switch Model)</t>
  </si>
  <si>
    <t>SEC_11 (CI/CD Gates - Secret Scan, SAST, Signed Skills, Pinned Models); MON_04 (Tool Invocation Monitoring + Auto-Response); SEC_20 (AIBOM - AI Bill of Materials); REG_03 (AIBOM Required for Every Agent); REG_05 (Agent Risk Tiering and Promotion Workflow)</t>
  </si>
  <si>
    <t>SEC_11 (CI/CD Gates - Secret Scan, SAST, Signed Skills, Pinned Models); MON_04 (Tool Invocation Monitoring + Auto-Response)</t>
  </si>
  <si>
    <t>SEC_11 (CI/CD Gates - Secret Scan, SAST, Signed Skills, Pinned Models); SEC_18 (Human-in-the-Loop for High-Risk Actions); MON_04 (Tool Invocation Monitoring + Auto-Response)</t>
  </si>
  <si>
    <t>SEC_11 (CI/CD Gates - Secret Scan, SAST, Signed Skills, Pinned Models); SEC_10 (Document Screening for File-Typed Outputs); MON_04 (Tool Invocation Monitoring + Auto-Response); IR_01 (Multi-Level Kill-Switch Model)</t>
  </si>
  <si>
    <t>SEC_11 (CI/CD Gates - Secret Scan, SAST, Signed Skills, Pinned Models); ENC_01 (Secrets Retrieval via Platform Module - No Bypass); DATA_03 (DLP at Prompt Assembly Time); MON_04 (Tool Invocation Monitoring + Auto-Response)</t>
  </si>
  <si>
    <t>NET_03 (TLS 1.2+ End-to-End); MCP_01 (Approved MCP Server Registry); SEC_22 (Formal MCP Server Security Review); MCP_04 (MCP Network Isolation and Egress Control)</t>
  </si>
  <si>
    <t>MCP_02 (MCP Authentication and Authorization); MCP_01 (Approved MCP Server Registry); SEC_22 (Formal MCP Server Security Review); IAM_03 (Least-Privilege Resource-Scoped IAM); MON_04 (Tool Invocation Monitoring + Auto-Response); IR_01 (Multi-Level Kill-Switch Model)</t>
  </si>
  <si>
    <t>ENC_01 (Secrets Retrieval via Platform Module - No Bypass); MCP_01 (Approved MCP Server Registry); SEC_22 (Formal MCP Server Security Review); IAM_08 (Short-Lived Token Enforcement); MCP_02 (MCP Authentication and Authorization); SEC_11 (CI/CD Gates - Secret Scan, SAST, Signed Skills, Pinned Models)</t>
  </si>
  <si>
    <t>MCP_01 (Approved MCP Server Registry); SEC_22 (Formal MCP Server Security Review); NET_01 (WAF-Capable Edge for Every Agent); MCP_02 (MCP Authentication and Authorization)</t>
  </si>
  <si>
    <t>MCP_01 (Approved MCP Server Registry); SEC_22 (Formal MCP Server Security Review); MCP_04 (MCP Network Isolation and Egress Control); NET_06 (Per-Agent Egress Allowlist); MCP_03 (MCP Schema and Argument Validation); IR_01 (Multi-Level Kill-Switch Model)</t>
  </si>
  <si>
    <t>MCP_01 (Approved MCP Server Registry); SEC_22 (Formal MCP Server Security Review); MCP_08 (MCP Periodic Recertification); REG_02 (Agent Manifest Schema Validation); SEC_15 (Agent Registry Compliance Gate); IR_01 (Multi-Level Kill-Switch Model)</t>
  </si>
  <si>
    <t>MCP_05 (MCP Output Scanning and Boundary Tagging); SEC_03 (Indirect Injection Defense - Tool Output Sanitisation); MCP_01 (Approved MCP Server Registry); SEC_22 (Formal MCP Server Security Review); ENC_06 (System Prompt Integrity Protection); IR_01 (Multi-Level Kill-Switch Model)</t>
  </si>
  <si>
    <t>MCP_01 (Approved MCP Server Registry); SEC_22 (Formal MCP Server Security Review); MCP_03 (MCP Schema and Argument Validation); IR_01 (Multi-Level Kill-Switch Model)</t>
  </si>
  <si>
    <t>MCP_01 (Approved MCP Server Registry); SEC_22 (Formal MCP Server Security Review); MCP_04 (MCP Network Isolation and Egress Control); NET_06 (Per-Agent Egress Allowlist); IR_01 (Multi-Level Kill-Switch Model)</t>
  </si>
  <si>
    <t>MCP_01 (Approved MCP Server Registry); SEC_22 (Formal MCP Server Security Review); MCP_03 (MCP Schema and Argument Validation); SEC_18 (Human-in-the-Loop for High-Risk Actions)</t>
  </si>
  <si>
    <t>MCP_05 (MCP Output Scanning and Boundary Tagging); SEC_03 (Indirect Injection Defense - Tool Output Sanitisation); MCP_01 (Approved MCP Server Registry); SEC_22 (Formal MCP Server Security Review); MON_04 (Tool Invocation Monitoring + Auto-Response)</t>
  </si>
  <si>
    <t>ENC_01 (Secrets Retrieval via Platform Module - No Bypass); MCP_01 (Approved MCP Server Registry); SEC_22 (Formal MCP Server Security Review); SEC_11 (CI/CD Gates - Secret Scan, SAST, Signed Skills, Pinned Models); MCP_08 (MCP Periodic Recertification); IR_01 (Multi-Level Kill-Switch Model)</t>
  </si>
  <si>
    <t>MCP_01 (Approved MCP Server Registry); SEC_22 (Formal MCP Server Security Review); MCP_03 (MCP Schema and Argument Validation); REG_02 (Agent Manifest Schema Validation); SEC_21 (Policy-as-Code for AI Controls); REG_07 (Runtime Drift Detection Against Registry)</t>
  </si>
  <si>
    <t>SEC_20 (AIBOM - AI Bill of Materials); REG_03 (AIBOM Required for Every Agent); REG_05 (Agent Risk Tiering and Promotion Workflow); SEC_11 (CI/CD Gates - Secret Scan, SAST, Signed Skills, Pinned Models)</t>
  </si>
  <si>
    <t>SEC_20 (AIBOM - AI Bill of Materials); REG_03 (AIBOM Required for Every Agent); REG_05 (Agent Risk Tiering and Promotion Workflow); SEC_11 (CI/CD Gates - Secret Scan, SAST, Signed Skills, Pinned Models); NET_06 (Per-Agent Egress Allowlist)</t>
  </si>
  <si>
    <t>REG_02 (Agent Manifest Schema Validation); SEC_20 (AIBOM - AI Bill of Materials); REG_03 (AIBOM Required for Every Agent); REG_05 (Agent Risk Tiering and Promotion Workflow); SEC_11 (CI/CD Gates - Secret Scan, SAST, Signed Skills, Pinned Models); SEC_15 (Agent Registry Compliance Gate)</t>
  </si>
  <si>
    <t>NET_03 (TLS 1.2+ End-to-End); SEC_20 (AIBOM - AI Bill of Materials); REG_03 (AIBOM Required for Every Agent); REG_05 (Agent Risk Tiering and Promotion Workflow); SEC_11 (CI/CD Gates - Secret Scan, SAST, Signed Skills, Pinned Models)</t>
  </si>
  <si>
    <t>NET_06 (Per-Agent Egress Allowlist); NET_07 (Private Connectivity to Managed Platform Services); NET_12 (Data Exfiltration Perimeter (Egress DLP)); MON_04 (Tool Invocation Monitoring + Auto-Response); IR_01 (Multi-Level Kill-Switch Model)</t>
  </si>
  <si>
    <t>NET_06 (Per-Agent Egress Allowlist); NET_07 (Private Connectivity to Managed Platform Services); NET_12 (Data Exfiltration Perimeter (Egress DLP)); MON_04 (Tool Invocation Monitoring + Auto-Response)</t>
  </si>
  <si>
    <t>NET_12 (Data Exfiltration Perimeter (Egress DLP)); NET_06 (Per-Agent Egress Allowlist); DATA_03 (DLP at Prompt Assembly Time); DATA_02 (PII Handling, Redaction, Pseudonymisation); MON_04 (Tool Invocation Monitoring + Auto-Response); IR_01 (Multi-Level Kill-Switch Model)</t>
  </si>
  <si>
    <t>NET_03 (TLS 1.2+ End-to-End); NET_10 (DNS &amp; Certificate Governance)</t>
  </si>
  <si>
    <t>NET_06 (Per-Agent Egress Allowlist); NET_10 (DNS &amp; Certificate Governance)</t>
  </si>
  <si>
    <t>SEC_09 (Malicious URL Detection in Tool Outputs); SEC_06 (Structured Output Schema + Tool Name Auth); SEC_05 (Output Content Scanning); IR_01 (Multi-Level Kill-Switch Model)</t>
  </si>
  <si>
    <t>SEC_06 (Structured Output Schema + Tool Name Auth); SEC_05 (Output Content Scanning); IR_01 (Multi-Level Kill-Switch Model)</t>
  </si>
  <si>
    <t>SEC_06 (Structured Output Schema + Tool Name Auth); SEC_18 (Human-in-the-Loop for High-Risk Actions); SEC_05 (Output Content Scanning)</t>
  </si>
  <si>
    <t>SEC_06 (Structured Output Schema + Tool Name Auth); SEC_05 (Output Content Scanning)</t>
  </si>
  <si>
    <t>SEC_11 (CI/CD Gates - Secret Scan, SAST, Signed Skills, Pinned Models); SEC_05 (Output Content Scanning)</t>
  </si>
  <si>
    <t>SEC_02 (Prompt Injection &amp; Jailbreak Detection on User Input); ENC_06 (System Prompt Integrity Protection); SEC_01 (Unified Guardrail Backend - GuardrailService); IR_01 (Multi-Level Kill-Switch Model)</t>
  </si>
  <si>
    <t>SEC_03 (Indirect Injection Defense - Tool Output Sanitisation); DATA_06 (RAG Source Trust Classification); SEC_01 (Unified Guardrail Backend - GuardrailService); IR_01 (Multi-Level Kill-Switch Model)</t>
  </si>
  <si>
    <t>SEC_03 (Indirect Injection Defense - Tool Output Sanitisation); SEC_01 (Unified Guardrail Backend - GuardrailService); MON_04 (Tool Invocation Monitoring + Auto-Response); IR_01 (Multi-Level Kill-Switch Model)</t>
  </si>
  <si>
    <t>IAM_04 (User Identity Propagation - AgentAuthContext); SEC_18 (Human-in-the-Loop for High-Risk Actions); SEC_21 (Policy-as-Code for AI Controls)</t>
  </si>
  <si>
    <t>IAM_04 (User Identity Propagation - AgentAuthContext); SEC_06 (Structured Output Schema + Tool Name Auth); MON_03 (Decision Trace Logging - Tool, Policy and Evidence Trace); IR_01 (Multi-Level Kill-Switch Model)</t>
  </si>
  <si>
    <t>ENC_06 (System Prompt Integrity Protection); ENC_01 (Secrets Retrieval via Platform Module - No Bypass); SEC_11 (CI/CD Gates - Secret Scan, SAST, Signed Skills, Pinned Models); IR_01 (Multi-Level Kill-Switch Model)</t>
  </si>
  <si>
    <t>SEC_02 (Prompt Injection &amp; Jailbreak Detection on User Input); SEC_04 (A2A Inbound Content Filtering); ENC_06 (System Prompt Integrity Protection); IR_01 (Multi-Level Kill-Switch Model)</t>
  </si>
  <si>
    <t>SEC_06 (Structured Output Schema + Tool Name Auth); MCP_03 (MCP Schema and Argument Validation)</t>
  </si>
  <si>
    <t>SEC_21 (Policy-as-Code for AI Controls); REG_07 (Runtime Drift Detection Against Registry); IR_07 (Known-Good Rollback for Prompts, Policies, Memory and Vector Indexes); IR_01 (Multi-Level Kill-Switch Model)</t>
  </si>
  <si>
    <t>SEC_03 (Indirect Injection Defense - Tool Output Sanitisation); SEC_12 (Safety Evaluation Gate - Severity-Based Release Blocking); REG_02 (Agent Manifest Schema Validation)</t>
  </si>
  <si>
    <t>DATA_06 (RAG Source Trust Classification); SEC_10 (Document Screening for File-Typed Outputs); DATA_05 (Memory Write Scanning (Poisoning Defense))</t>
  </si>
  <si>
    <t>DATA_11 (Document/Chunk-Level RAG Authorization); MEM_02 (Memory Read Authorization and ACL Filtering); IAM_04 (User Identity Propagation - AgentAuthContext)</t>
  </si>
  <si>
    <t>DATA_11 (Document/Chunk-Level RAG Authorization); SEC_06 (Structured Output Schema + Tool Name Auth); MEM_02 (Memory Read Authorization and ACL Filtering)</t>
  </si>
  <si>
    <t>SEC_03 (Indirect Injection Defense - Tool Output Sanitisation); SEC_18 (Human-in-the-Loop for High-Risk Actions); DATA_06 (RAG Source Trust Classification)</t>
  </si>
  <si>
    <t>DATA_07 (Data Residency &amp; Region Pinning); DATA_08 (Restricted Data Business-Owner Sign-Off); DATA_03 (DLP at Prompt Assembly Time); NET_06 (Per-Agent Egress Allowlist)</t>
  </si>
  <si>
    <t>DATA_05 (Memory Write Scanning (Poisoning Defense)); MEM_03 (Memory Write Validation and Provenance); MEM_07 (Memory Anomaly Detection)</t>
  </si>
  <si>
    <t>MEM_02 (Memory Read Authorization and ACL Filtering); MEM_01 (Memory Store Classification and Ownership); MEM_06 (Vector Index ACL and Deletion Propagation)</t>
  </si>
  <si>
    <t>MEM_08 (Memory Minimization by Design); DATA_05 (Memory Write Scanning (Poisoning Defense)); ENC_01 (Secrets Retrieval via Platform Module - No Bypass)</t>
  </si>
  <si>
    <t>REG_02 (Agent Manifest Schema Validation)</t>
  </si>
  <si>
    <t>NET_06 (Per-Agent Egress Allowlist); DATA_06 (RAG Source Trust Classification)</t>
  </si>
  <si>
    <t>ENC_01 (Secrets Retrieval via Platform Module - No Bypass); IAM_02 (Workload Identity - Zero Static Key Files); SEC_11 (CI/CD Gates - Secret Scan, SAST, Signed Skills, Pinned Models)</t>
  </si>
  <si>
    <t>ENC_02 (No Tokens/Auth Codes in Logs); MON_02 (Prompt/Response Logging - Privacy-Safe Restricted Sink); NET_12 (Data Exfiltration Perimeter (Egress DLP))</t>
  </si>
  <si>
    <t>MON_02 (Prompt/Response Logging - Privacy-Safe Restricted Sink); DATA_02 (PII Handling, Redaction, Pseudonymisation); ENC_02 (No Tokens/Auth Codes in Logs)</t>
  </si>
  <si>
    <t>MON_02 (Prompt/Response Logging - Privacy-Safe Restricted Sink); MON_03 (Decision Trace Logging - Tool, Policy and Evidence Trace); DATA_02 (PII Handling, Redaction, Pseudonymisation)</t>
  </si>
  <si>
    <t>MON_02 (Prompt/Response Logging - Privacy-Safe Restricted Sink); SEC_11 (CI/CD Gates - Secret Scan, SAST, Signed Skills, Pinned Models)</t>
  </si>
  <si>
    <t>ENC_01 (Secrets Retrieval via Platform Module - No Bypass); DATA_03 (DLP at Prompt Assembly Time)</t>
  </si>
  <si>
    <t>SEC_11 (CI/CD Gates - Secret Scan, SAST, Signed Skills, Pinned Models); SEC_20 (AIBOM - AI Bill of Materials); REG_03 (AIBOM Required for Every Agent); SEC_06 (Structured Output Schema + Tool Name Auth); IR_01 (Multi-Level Kill-Switch Model)</t>
  </si>
  <si>
    <t>SEC_11 (CI/CD Gates - Secret Scan, SAST, Signed Skills, Pinned Models); SEC_20 (AIBOM - AI Bill of Materials); REG_03 (AIBOM Required for Every Agent); IR_01 (Multi-Level Kill-Switch Model)</t>
  </si>
  <si>
    <t>SEC_11 (CI/CD Gates - Secret Scan, SAST, Signed Skills, Pinned Models); SEC_20 (AIBOM - AI Bill of Materials); REG_03 (AIBOM Required for Every Agent)</t>
  </si>
  <si>
    <t>ENC_01 (Secrets Retrieval via Platform Module - No Bypass); SEC_11 (CI/CD Gates - Secret Scan, SAST, Signed Skills, Pinned Models); SEC_20 (AIBOM - AI Bill of Materials); REG_03 (AIBOM Required for Every Agent); IAM_03 (Least-Privilege Resource-Scoped IAM)</t>
  </si>
  <si>
    <t>NET_12 (Data Exfiltration Perimeter (Egress DLP)); SEC_11 (CI/CD Gates - Secret Scan, SAST, Signed Skills, Pinned Models); SEC_20 (AIBOM - AI Bill of Materials); REG_03 (AIBOM Required for Every Agent); ENC_01 (Secrets Retrieval via Platform Module - No Bypass); MON_04 (Tool Invocation Monitoring + Auto-Response); IR_01 (Multi-Level Kill-Switch Model)</t>
  </si>
  <si>
    <t>SEC_21 (Policy-as-Code for AI Controls); SEC_11 (CI/CD Gates - Secret Scan, SAST, Signed Skills, Pinned Models); SEC_20 (AIBOM - AI Bill of Materials); REG_03 (AIBOM Required for Every Agent); REG_07 (Runtime Drift Detection Against Registry); IR_07 (Known-Good Rollback for Prompts, Policies, Memory and Vector Indexes); IR_01 (Multi-Level Kill-Switch Model)</t>
  </si>
  <si>
    <t>IAM_03 (Least-Privilege Resource-Scoped IAM); SEC_11 (CI/CD Gates - Secret Scan, SAST, Signed Skills, Pinned Models); SEC_20 (AIBOM - AI Bill of Materials); REG_03 (AIBOM Required for Every Agent); REG_02 (Agent Manifest Schema Validation); SEC_15 (Agent Registry Compliance Gate)</t>
  </si>
  <si>
    <t>SEC_01 (Unified Guardrail Backend - GuardrailService); SEC_02 (Prompt Injection &amp; Jailbreak Detection on User Input); SEC_05 (Output Content Scanning); SEC_12 (Safety Evaluation Gate - Severity-Based Release Blocking)</t>
  </si>
  <si>
    <t>SEC_11 (CI/CD Gates - Secret Scan, SAST, Signed Skills, Pinned Models); SEC_06 (Structured Output Schema + Tool Name Auth)</t>
  </si>
  <si>
    <t>NET_06 (Per-Agent Egress Allowlist); NET_12 (Data Exfiltration Perimeter (Egress DLP)); DATA_03 (DLP at Prompt Assembly Time)</t>
  </si>
  <si>
    <t>SEC_11 (CI/CD Gates - Secret Scan, SAST, Signed Skills, Pinned Models)</t>
  </si>
  <si>
    <t>DATA_03 (DLP at Prompt Assembly Time); DATA_02 (PII Handling, Redaction, Pseudonymisation); MON_02 (Prompt/Response Logging - Privacy-Safe Restricted Sink)</t>
  </si>
  <si>
    <t>IAM_03 (Least-Privilege Resource-Scoped IAM); SEC_06 (Structured Output Schema + Tool Name Auth); REG_02 (Agent Manifest Schema Validation)</t>
  </si>
  <si>
    <t>SEC_18 (Human-in-the-Loop for High-Risk Actions); BIZ_02 (High-Risk Action Catalog); MON_03 (Decision Trace Logging - Tool, Policy and Evidence Trace)</t>
  </si>
  <si>
    <t>REG_07 (Runtime Drift Detection Against Registry); IAM_03 (Least-Privilege Resource-Scoped IAM); REG_02 (Agent Manifest Schema Validation)</t>
  </si>
  <si>
    <t>BIZ_06 (Cost and Abuse Budgeting); IAM_03 (Least-Privilege Resource-Scoped IAM); SEC_16 (Recursive Loop &amp; Runaway Prevention)</t>
  </si>
  <si>
    <t>REG_02 (Agent Manifest Schema Validation); SEC_15 (Agent Registry Compliance Gate); SEC_21 (Policy-as-Code for AI Controls)</t>
  </si>
  <si>
    <t>REG_02 (Agent Manifest Schema Validation); SEC_15 (Agent Registry Compliance Gate); SEC_21 (Policy-as-Code for AI Controls); IAM_03 (Least-Privilege Resource-Scoped IAM)</t>
  </si>
  <si>
    <t>DATA_05 (Memory Write Scanning (Poisoning Defense)); MEM_03 (Memory Write Validation and Provenance); MEM_07 (Memory Anomaly Detection); IR_07 (Known-Good Rollback for Prompts, Policies, Memory and Vector Indexes)</t>
  </si>
  <si>
    <t>SEC_07 (Token Budget Monitoring - Prompt Stuffing Defense); BIZ_06 (Cost and Abuse Budgeting)</t>
  </si>
  <si>
    <t>SEC_05 (Output Content Scanning); SEC_06 (Structured Output Schema + Tool Name Auth); SEC_03 (Indirect Injection Defense - Tool Output Sanitisation)</t>
  </si>
  <si>
    <t>SEC_05 (Output Content Scanning); DATA_01 (Runtime Data Classification Enforcement); SEC_03 (Indirect Injection Defense - Tool Output Sanitisation)</t>
  </si>
  <si>
    <t>SEC_05 (Output Content Scanning); BIZ_06 (Cost and Abuse Budgeting); MON_08 (Behavioral Analytics &amp; Anomaly Detection)</t>
  </si>
  <si>
    <t>NET_12 (Data Exfiltration Perimeter (Egress DLP)); SEC_02 (Prompt Injection &amp; Jailbreak Detection on User Input); SEC_05 (Output Content Scanning)</t>
  </si>
  <si>
    <t>SEC_01 (Unified Guardrail Backend - GuardrailService); SEC_02 (Prompt Injection &amp; Jailbreak Detection on User Input); SEC_05 (Output Content Scanning); SEC_12 (Safety Evaluation Gate - Severity-Based Release Blocking); BIZ_07 (Legal/Compliance Review for External Communications)</t>
  </si>
  <si>
    <t>ENC_06 (System Prompt Integrity Protection); SEC_05 (Output Content Scanning); DATA_03 (DLP at Prompt Assembly Time)</t>
  </si>
  <si>
    <t>NET_12 (Data Exfiltration Perimeter (Egress DLP)); SEC_03 (Indirect Injection Defense - Tool Output Sanitisation); MON_04 (Tool Invocation Monitoring + Auto-Response)</t>
  </si>
  <si>
    <t>IAM_03 (Least-Privilege Resource-Scoped IAM); SEC_11 (CI/CD Gates - Secret Scan, SAST, Signed Skills, Pinned Models)</t>
  </si>
  <si>
    <t>REG_07 (Runtime Drift Detection Against Registry); IR_07 (Known-Good Rollback for Prompts, Policies, Memory and Vector Indexes); SEC_21 (Policy-as-Code for AI Controls)</t>
  </si>
  <si>
    <t>MEM_04 (Memory TTL and Retention Enforcement); IR_03 (Agent Decommissioning &amp; Expiry Controls); REG_06 (Agent Expiry and Recertification)</t>
  </si>
  <si>
    <t>SEC_11 (CI/CD Gates - Secret Scan, SAST, Signed Skills, Pinned Models); SEC_20 (AIBOM - AI Bill of Materials)</t>
  </si>
  <si>
    <t>SEC_11 (CI/CD Gates - Secret Scan, SAST, Signed Skills, Pinned Models); SEC_12 (Safety Evaluation Gate - Severity-Based Release Blocking); SEC_20 (AIBOM - AI Bill of Materials)</t>
  </si>
  <si>
    <t>SEC_06 (Structured Output Schema + Tool Name Auth); MCP_03 (MCP Schema and Argument Validation); MON_04 (Tool Invocation Monitoring + Auto-Response)</t>
  </si>
  <si>
    <t>SEC_17 (Toxic Tool Combination Detection); MON_04 (Tool Invocation Monitoring + Auto-Response); SEC_18 (Human-in-the-Loop for High-Risk Actions)</t>
  </si>
  <si>
    <t>SEC_03 (Indirect Injection Defense - Tool Output Sanitisation); SEC_01 (Unified Guardrail Backend - GuardrailService); SEC_02 (Prompt Injection &amp; Jailbreak Detection on User Input); SEC_05 (Output Content Scanning); SEC_12 (Safety Evaluation Gate - Severity-Based Release Blocking); MCP_05 (MCP Output Scanning and Boundary Tagging)</t>
  </si>
  <si>
    <t>SEC_03 (Indirect Injection Defense - Tool Output Sanitisation); MCP_05 (MCP Output Scanning and Boundary Tagging); SEC_12 (Safety Evaluation Gate - Severity-Based Release Blocking)</t>
  </si>
  <si>
    <t>REG_07 (Runtime Drift Detection Against Registry); REG_02 (Agent Manifest Schema Validation); SEC_12 (Safety Evaluation Gate - Severity-Based Release Blocking)</t>
  </si>
  <si>
    <t>REG_02 (Agent Manifest Schema Validation); SEC_12 (Safety Evaluation Gate - Severity-Based Release Blocking); SEC_21 (Policy-as-Code for AI Controls)</t>
  </si>
  <si>
    <t>NET_12 (Data Exfiltration Perimeter (Egress DLP)); ENC_01 (Secrets Retrieval via Platform Module - No Bypass); MON_04 (Tool Invocation Monitoring + Auto-Response)</t>
  </si>
  <si>
    <t>NET_12 (Data Exfiltration Perimeter (Egress DLP)); NET_06 (Per-Agent Egress Allowlist)</t>
  </si>
  <si>
    <t>SEC_11 (CI/CD Gates - Secret Scan, SAST, Signed Skills, Pinned Models); SEC_20 (AIBOM - AI Bill of Materials); SEC_12 (Safety Evaluation Gate - Severity-Based Release Blocking)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</si>
</sst>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20"/>
      <color rgb="FFFFFFFF"/>
      <name val="Carlito"/>
    </font>
    <font>
      <i/>
      <sz val="11"/>
      <color rgb="FF17212B"/>
      <name val="Carlito"/>
    </font>
    <font>
      <b/>
      <sz val="11"/>
      <color rgb="FF5D6B7A"/>
      <name val="Carlito"/>
    </font>
    <font>
      <b/>
      <sz val="18"/>
      <color rgb="FF0B1F33"/>
      <name val="Carlito"/>
    </font>
    <font>
      <b/>
      <sz val="11"/>
      <color rgb="FFFFFFFF"/>
      <name val="Carlito"/>
    </font>
    <font>
      <sz val="11"/>
      <color rgb="FF17212B"/>
      <name val="Carlito"/>
    </font>
    <font>
      <i/>
      <sz val="11"/>
      <color rgb="FF1769AA"/>
      <name val="Carlito"/>
    </font>
    <font>
      <b/>
      <sz val="11"/>
      <color rgb="FF0B1F33"/>
      <name val="Carlito"/>
    </font>
    <font>
      <sz val="11"/>
      <color rgb="FF1769AA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CECF6"/>
      </patternFill>
    </fill>
    <fill>
      <patternFill patternType="solid">
        <fgColor rgb="FFEAF4FA"/>
      </patternFill>
    </fill>
    <fill>
      <patternFill patternType="solid">
        <fgColor rgb="FFFFFFFF"/>
      </patternFill>
    </fill>
    <fill>
      <patternFill patternType="solid">
        <fgColor rgb="FF1769AA"/>
      </patternFill>
    </fill>
    <fill>
      <patternFill patternType="solid">
        <fgColor rgb="FF24A6C8"/>
      </patternFill>
    </fill>
    <fill>
      <patternFill patternType="solid">
        <fgColor rgb="FFF4F7FA"/>
      </patternFill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4">
    <border>
      <left/>
      <right/>
      <top/>
      <bottom/>
      <diagonal/>
    </border>
    <border>
      <left style="thin">
        <color rgb="FFB8CEDD"/>
      </left>
      <right/>
      <top style="thin">
        <color rgb="FFB8CEDD"/>
      </top>
      <bottom style="thin">
        <color rgb="FFB8CEDD"/>
      </bottom>
      <diagonal/>
    </border>
    <border>
      <left/>
      <right/>
      <top style="thin">
        <color rgb="FFB8CEDD"/>
      </top>
      <bottom style="thin">
        <color rgb="FFB8CEDD"/>
      </bottom>
      <diagonal/>
    </border>
    <border>
      <left/>
      <right style="thin">
        <color rgb="FFB8CEDD"/>
      </right>
      <top style="thin">
        <color rgb="FFB8CEDD"/>
      </top>
      <bottom style="thin">
        <color rgb="FFB8CEDD"/>
      </bottom>
      <diagonal/>
    </border>
    <border>
      <left style="thin">
        <color rgb="FF0D4D7A"/>
      </left>
      <right/>
      <top style="thin">
        <color rgb="FF0D4D7A"/>
      </top>
      <bottom style="thin">
        <color rgb="FF0D4D7A"/>
      </bottom>
      <diagonal/>
    </border>
    <border>
      <left/>
      <right style="thin">
        <color rgb="FF0D4D7A"/>
      </right>
      <top style="thin">
        <color rgb="FF0D4D7A"/>
      </top>
      <bottom style="thin">
        <color rgb="FF0D4D7A"/>
      </bottom>
      <diagonal/>
    </border>
    <border>
      <left/>
      <right/>
      <top/>
      <bottom style="thin">
        <color rgb="FFD7E0E7"/>
      </bottom>
      <diagonal/>
    </border>
    <border>
      <left/>
      <right/>
      <top style="thin">
        <color rgb="FFD7E0E7"/>
      </top>
      <bottom style="thin">
        <color rgb="FFD7E0E7"/>
      </bottom>
      <diagonal/>
    </border>
    <border>
      <left/>
      <right/>
      <top style="thin">
        <color rgb="FFD7E0E7"/>
      </top>
      <bottom/>
      <diagonal/>
    </border>
    <border>
      <left/>
      <right/>
      <top style="thin">
        <color rgb="FF0D4D7A"/>
      </top>
      <bottom style="thin">
        <color rgb="FF0D4D7A"/>
      </bottom>
      <diagonal/>
    </border>
    <border>
      <left/>
      <right/>
      <top/>
      <bottom style="thin">
        <color rgb="FFE5EBF0"/>
      </bottom>
      <diagonal/>
    </border>
    <border>
      <left/>
      <right/>
      <top style="thin">
        <color rgb="FFE5EBF0"/>
      </top>
      <bottom style="thin">
        <color rgb="FFE5EBF0"/>
      </bottom>
      <diagonal/>
    </border>
    <border>
      <left/>
      <right/>
      <top style="thin">
        <color rgb="FFE5EBF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6" borderId="4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3" fontId="0" fillId="5" borderId="6" xfId="0" applyNumberFormat="1" applyFill="1" applyBorder="1" applyAlignment="1">
      <alignment vertical="center"/>
    </xf>
    <xf numFmtId="0" fontId="0" fillId="5" borderId="7" xfId="0" applyFill="1" applyBorder="1" applyAlignment="1">
      <alignment vertical="center"/>
    </xf>
    <xf numFmtId="3" fontId="0" fillId="5" borderId="7" xfId="0" applyNumberForma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3" fontId="0" fillId="5" borderId="8" xfId="0" applyNumberFormat="1" applyFill="1" applyBorder="1" applyAlignment="1">
      <alignment vertical="center"/>
    </xf>
    <xf numFmtId="0" fontId="5" fillId="6" borderId="9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3" fontId="6" fillId="0" borderId="10" xfId="0" applyNumberFormat="1" applyFont="1" applyBorder="1" applyAlignment="1">
      <alignment vertical="center"/>
    </xf>
    <xf numFmtId="3" fontId="6" fillId="0" borderId="11" xfId="0" applyNumberFormat="1" applyFont="1" applyBorder="1" applyAlignment="1">
      <alignment vertical="center"/>
    </xf>
    <xf numFmtId="3" fontId="6" fillId="0" borderId="12" xfId="0" applyNumberFormat="1" applyFont="1" applyBorder="1" applyAlignment="1">
      <alignment vertical="center"/>
    </xf>
    <xf numFmtId="0" fontId="0" fillId="0" borderId="0" xfId="0" applyAlignment="1">
      <alignment wrapText="1"/>
    </xf>
    <xf numFmtId="0" fontId="5" fillId="9" borderId="0" xfId="0" applyFont="1" applyFill="1" applyAlignment="1">
      <alignment wrapText="1"/>
    </xf>
    <xf numFmtId="0" fontId="5" fillId="6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vertical="top"/>
    </xf>
    <xf numFmtId="0" fontId="6" fillId="0" borderId="13" xfId="0" applyFont="1" applyBorder="1" applyAlignment="1">
      <alignment vertical="top" wrapText="1"/>
    </xf>
    <xf numFmtId="0" fontId="6" fillId="0" borderId="13" xfId="0" applyFont="1" applyBorder="1" applyAlignment="1">
      <alignment vertical="top"/>
    </xf>
    <xf numFmtId="0" fontId="9" fillId="0" borderId="13" xfId="0" applyFont="1" applyBorder="1" applyAlignment="1">
      <alignment vertical="top" wrapText="1"/>
    </xf>
    <xf numFmtId="0" fontId="0" fillId="0" borderId="13" xfId="0" applyBorder="1"/>
    <xf numFmtId="0" fontId="1" fillId="2" borderId="0" xfId="0" applyFont="1" applyFill="1" applyAlignment="1">
      <alignment horizontal="left" vertical="center"/>
    </xf>
    <xf numFmtId="0" fontId="5" fillId="7" borderId="0" xfId="0" applyFont="1" applyFill="1" applyAlignment="1">
      <alignment vertical="center"/>
    </xf>
    <xf numFmtId="0" fontId="6" fillId="8" borderId="0" xfId="0" applyFont="1" applyFill="1" applyAlignment="1">
      <alignment vertical="center" wrapText="1"/>
    </xf>
    <xf numFmtId="0" fontId="7" fillId="8" borderId="0" xfId="0" applyFont="1" applyFill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wrapText="1"/>
    </xf>
  </cellXfs>
  <cellStyles count="1">
    <cellStyle name="Normal" xfId="0" builtinId="0"/>
  </cellStyles>
  <dxfs count="2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color rgb="FF16794A"/>
      </font>
      <fill>
        <patternFill>
          <bgColor rgb="FFE7F6EC"/>
        </patternFill>
      </fill>
    </dxf>
    <dxf>
      <font>
        <b/>
        <color rgb="FF7A5D00"/>
      </font>
      <fill>
        <patternFill>
          <bgColor rgb="FFFFF8CC"/>
        </patternFill>
      </fill>
    </dxf>
    <dxf>
      <font>
        <b/>
        <color rgb="FFB54708"/>
      </font>
      <fill>
        <patternFill>
          <bgColor rgb="FFFFF1DF"/>
        </patternFill>
      </fill>
    </dxf>
    <dxf>
      <font>
        <b/>
        <color rgb="FFB42318"/>
      </font>
      <fill>
        <patternFill>
          <bgColor rgb="FFFDE8E8"/>
        </patternFill>
      </fill>
    </dxf>
    <dxf>
      <font>
        <b/>
        <color rgb="FF1556A3"/>
      </font>
      <fill>
        <patternFill>
          <bgColor rgb="FFE8F1FF"/>
        </patternFill>
      </fill>
    </dxf>
    <dxf>
      <font>
        <b/>
        <color rgb="FF16794A"/>
      </font>
      <fill>
        <patternFill>
          <bgColor rgb="FFE7F6EC"/>
        </patternFill>
      </fill>
    </dxf>
    <dxf>
      <font>
        <b/>
        <color rgb="FF7A5D00"/>
      </font>
      <fill>
        <patternFill>
          <bgColor rgb="FFFFF8CC"/>
        </patternFill>
      </fill>
    </dxf>
    <dxf>
      <font>
        <b/>
        <color rgb="FFB54708"/>
      </font>
      <fill>
        <patternFill>
          <bgColor rgb="FFFFF1DF"/>
        </patternFill>
      </fill>
    </dxf>
    <dxf>
      <font>
        <b/>
        <color rgb="FFB42318"/>
      </font>
      <fill>
        <patternFill>
          <b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Rules by Severity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Rule Count</c:v>
          </c:tx>
          <c:invertIfNegative val="1"/>
          <c:cat>
            <c:strRef>
              <c:f>Summary!$A$9:$A$12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Summary!$B$9:$B$12</c:f>
              <c:numCache>
                <c:formatCode>#,##0</c:formatCode>
                <c:ptCount val="4"/>
                <c:pt idx="0">
                  <c:v>73</c:v>
                </c:pt>
                <c:pt idx="1">
                  <c:v>83</c:v>
                </c:pt>
                <c:pt idx="2">
                  <c:v>22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FFC-A6C6-235F08B4C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CatalogTable" displayName="RiskCatalogTable" ref="A1:R182" totalsRowShown="0" headerRowDxfId="0">
  <autoFilter ref="A1:R182" xr:uid="{00000000-0009-0000-0100-000001000000}">
    <filterColumn colId="4">
      <filters>
        <filter val="Agent Orchestration"/>
        <filter val="Archive"/>
        <filter val="Cloud Config"/>
        <filter val="Code Execution"/>
        <filter val="custom"/>
        <filter val="Data Exfiltration"/>
        <filter val="Debug Exposure"/>
        <filter val="Deserialization"/>
        <filter val="File Access"/>
        <filter val="File Upload"/>
        <filter val="Identity"/>
        <filter val="Injection"/>
        <filter val="Logging"/>
        <filter val="MCP"/>
        <filter val="Memory"/>
        <filter val="Model Provider"/>
        <filter val="Model Supply Chain"/>
        <filter val="Network"/>
        <filter val="NVIDIA SkillSpector"/>
        <filter val="Output Validation"/>
        <filter val="Prompt Boundary"/>
        <filter val="RAG"/>
        <filter val="Secrets"/>
        <filter val="Skill Security"/>
        <filter val="TLS"/>
      </filters>
    </filterColumn>
  </autoFilter>
  <tableColumns count="18">
    <tableColumn id="1" xr3:uid="{00000000-0010-0000-0000-000001000000}" name="Rule ID" dataDxfId="18"/>
    <tableColumn id="2" xr3:uid="{00000000-0010-0000-0000-000002000000}" name="Name" dataDxfId="17"/>
    <tableColumn id="3" xr3:uid="{00000000-0010-0000-0000-000003000000}" name="Engine" dataDxfId="16"/>
    <tableColumn id="4" xr3:uid="{00000000-0010-0000-0000-000004000000}" name="Rule Set" dataDxfId="15"/>
    <tableColumn id="5" xr3:uid="{00000000-0010-0000-0000-000005000000}" name="Category" dataDxfId="14"/>
    <tableColumn id="6" xr3:uid="{00000000-0010-0000-0000-000006000000}" name="Severity" dataDxfId="13"/>
    <tableColumn id="7" xr3:uid="{00000000-0010-0000-0000-000007000000}" name="Analysis Type" dataDxfId="12"/>
    <tableColumn id="8" xr3:uid="{00000000-0010-0000-0000-000008000000}" name="Targets" dataDxfId="11"/>
    <tableColumn id="9" xr3:uid="{00000000-0010-0000-0000-000009000000}" name="Sources" dataDxfId="10"/>
    <tableColumn id="10" xr3:uid="{00000000-0010-0000-0000-00000A000000}" name="Sinks" dataDxfId="9"/>
    <tableColumn id="11" xr3:uid="{00000000-0010-0000-0000-00000B000000}" name="Barriers" dataDxfId="8"/>
    <tableColumn id="12" xr3:uid="{00000000-0010-0000-0000-00000C000000}" name="Message" dataDxfId="7"/>
    <tableColumn id="13" xr3:uid="{00000000-0010-0000-0000-00000D000000}" name="Detection Logic" dataDxfId="6"/>
    <tableColumn id="14" xr3:uid="{00000000-0010-0000-0000-00000E000000}" name="Remediation" dataDxfId="5"/>
    <tableColumn id="15" xr3:uid="{00000000-0010-0000-0000-00000F000000}" name="Source Description" dataDxfId="4"/>
    <tableColumn id="16" xr3:uid="{00000000-0010-0000-0000-000010000000}" name="Sink Description" dataDxfId="3"/>
    <tableColumn id="17" xr3:uid="{00000000-0010-0000-0000-000011000000}" name="Source File" dataDxfId="2"/>
    <tableColumn id="18" xr3:uid="{00000000-0010-0000-0000-000012000000}" name="Source URL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ummaryTable" displayName="SourceSummaryTable" ref="A1:H27" totalsRowShown="0">
  <autoFilter ref="A1:H27" xr:uid="{00000000-0009-0000-0100-000002000000}"/>
  <tableColumns count="8">
    <tableColumn id="1" xr3:uid="{00000000-0010-0000-0100-000001000000}" name="Source File"/>
    <tableColumn id="2" xr3:uid="{00000000-0010-0000-0100-000002000000}" name="Engine"/>
    <tableColumn id="3" xr3:uid="{00000000-0010-0000-0100-000003000000}" name="Rule Set"/>
    <tableColumn id="4" xr3:uid="{00000000-0010-0000-0100-000004000000}" name="Rule Count"/>
    <tableColumn id="5" xr3:uid="{00000000-0010-0000-0100-000005000000}" name="Critical"/>
    <tableColumn id="6" xr3:uid="{00000000-0010-0000-0100-000006000000}" name="High"/>
    <tableColumn id="7" xr3:uid="{00000000-0010-0000-0100-000007000000}" name="Medium"/>
    <tableColumn id="8" xr3:uid="{00000000-0010-0000-0100-000008000000}" name="L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showGridLines="0" workbookViewId="0">
      <selection sqref="A1:Q2"/>
    </sheetView>
  </sheetViews>
  <sheetFormatPr defaultRowHeight="14"/>
  <cols>
    <col min="1" max="8" width="18" customWidth="1"/>
    <col min="9" max="9" width="3" customWidth="1"/>
    <col min="10" max="17" width="12" customWidth="1"/>
  </cols>
  <sheetData>
    <row r="1" spans="1:17" ht="28" customHeight="1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32" t="s">
        <v>0</v>
      </c>
      <c r="L1" s="32" t="s">
        <v>0</v>
      </c>
      <c r="M1" s="32" t="s">
        <v>0</v>
      </c>
      <c r="N1" s="32" t="s">
        <v>0</v>
      </c>
      <c r="O1" s="32" t="s">
        <v>0</v>
      </c>
      <c r="P1" s="32" t="s">
        <v>0</v>
      </c>
      <c r="Q1" s="32" t="s">
        <v>0</v>
      </c>
    </row>
    <row r="2" spans="1:17" ht="28" customHeight="1">
      <c r="A2" s="32" t="s">
        <v>0</v>
      </c>
      <c r="B2" s="32" t="s">
        <v>0</v>
      </c>
      <c r="C2" s="32" t="s">
        <v>0</v>
      </c>
      <c r="D2" s="32" t="s">
        <v>0</v>
      </c>
      <c r="E2" s="32" t="s">
        <v>0</v>
      </c>
      <c r="F2" s="32" t="s">
        <v>0</v>
      </c>
      <c r="G2" s="32" t="s">
        <v>0</v>
      </c>
      <c r="H2" s="32" t="s">
        <v>0</v>
      </c>
      <c r="I2" s="32" t="s">
        <v>0</v>
      </c>
      <c r="J2" s="32" t="s">
        <v>0</v>
      </c>
      <c r="K2" s="32" t="s">
        <v>0</v>
      </c>
      <c r="L2" s="32" t="s">
        <v>0</v>
      </c>
      <c r="M2" s="32" t="s">
        <v>0</v>
      </c>
      <c r="N2" s="32" t="s">
        <v>0</v>
      </c>
      <c r="O2" s="32" t="s">
        <v>0</v>
      </c>
      <c r="P2" s="32" t="s">
        <v>0</v>
      </c>
      <c r="Q2" s="32" t="s">
        <v>0</v>
      </c>
    </row>
    <row r="3" spans="1:17" ht="24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30" customHeight="1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30" customHeight="1">
      <c r="A6" s="8">
        <f>COUNTA('Risk_rule Catalog'!$A$2:$A$182)</f>
        <v>181</v>
      </c>
      <c r="B6" s="9">
        <f>COUNTIF('Risk_rule Catalog'!$C$2:$C$182,"agentguard")</f>
        <v>113</v>
      </c>
      <c r="C6" s="9">
        <f>COUNTIF('Risk_rule Catalog'!$C$2:$C$182,"skillspector")</f>
        <v>68</v>
      </c>
      <c r="D6" s="9">
        <f>COUNTIF('Risk_rule Catalog'!$F$2:$F$182,"Critical")</f>
        <v>73</v>
      </c>
      <c r="E6" s="9">
        <f>COUNTIF('Risk_rule Catalog'!$F$2:$F$182,"High")</f>
        <v>83</v>
      </c>
      <c r="F6" s="10">
        <f>COUNTIF('Risk_rule Catalog'!$D$2:$D$182,"Native")</f>
        <v>112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>
      <c r="A8" s="1" t="s">
        <v>8</v>
      </c>
      <c r="B8" s="2" t="s">
        <v>9</v>
      </c>
      <c r="C8" s="4"/>
      <c r="D8" s="1" t="s">
        <v>10</v>
      </c>
      <c r="E8" s="2" t="s">
        <v>9</v>
      </c>
      <c r="F8" s="4"/>
      <c r="G8" s="1" t="s">
        <v>11</v>
      </c>
      <c r="H8" s="2" t="s">
        <v>9</v>
      </c>
      <c r="I8" s="4"/>
      <c r="J8" s="4"/>
      <c r="K8" s="4"/>
      <c r="L8" s="4"/>
      <c r="M8" s="4"/>
      <c r="N8" s="4"/>
      <c r="O8" s="4"/>
      <c r="P8" s="4"/>
      <c r="Q8" s="4"/>
    </row>
    <row r="9" spans="1:17">
      <c r="A9" s="11" t="s">
        <v>5</v>
      </c>
      <c r="B9" s="12">
        <f>COUNTIF('Risk_rule Catalog'!$F$2:$F$182,A9)</f>
        <v>73</v>
      </c>
      <c r="C9" s="4"/>
      <c r="D9" s="11" t="s">
        <v>12</v>
      </c>
      <c r="E9" s="12">
        <f>COUNTIF('Risk_rule Catalog'!$G$2:$G$182,D9)</f>
        <v>75</v>
      </c>
      <c r="F9" s="4"/>
      <c r="G9" s="11" t="s">
        <v>13</v>
      </c>
      <c r="H9" s="12">
        <f>COUNTIF('Risk_rule Catalog'!$D$2:$D$182,G9)</f>
        <v>112</v>
      </c>
      <c r="I9" s="4"/>
      <c r="J9" s="4"/>
      <c r="K9" s="4"/>
      <c r="L9" s="4"/>
      <c r="M9" s="4"/>
      <c r="N9" s="4"/>
      <c r="O9" s="4"/>
      <c r="P9" s="4"/>
      <c r="Q9" s="4"/>
    </row>
    <row r="10" spans="1:17">
      <c r="A10" s="13" t="s">
        <v>6</v>
      </c>
      <c r="B10" s="14">
        <f>COUNTIF('Risk_rule Catalog'!$F$2:$F$182,A10)</f>
        <v>83</v>
      </c>
      <c r="C10" s="4"/>
      <c r="D10" s="13" t="s">
        <v>14</v>
      </c>
      <c r="E10" s="14">
        <f>COUNTIF('Risk_rule Catalog'!$G$2:$G$182,D10)</f>
        <v>22</v>
      </c>
      <c r="F10" s="4"/>
      <c r="G10" s="13" t="s">
        <v>15</v>
      </c>
      <c r="H10" s="14">
        <f>COUNTIF('Risk_rule Catalog'!$D$2:$D$182,G10)</f>
        <v>1</v>
      </c>
      <c r="I10" s="4"/>
      <c r="J10" s="4"/>
      <c r="K10" s="4"/>
      <c r="L10" s="4"/>
      <c r="M10" s="4"/>
      <c r="N10" s="4"/>
      <c r="O10" s="4"/>
      <c r="P10" s="4"/>
      <c r="Q10" s="4"/>
    </row>
    <row r="11" spans="1:17">
      <c r="A11" s="13" t="s">
        <v>16</v>
      </c>
      <c r="B11" s="14">
        <f>COUNTIF('Risk_rule Catalog'!$F$2:$F$182,A11)</f>
        <v>22</v>
      </c>
      <c r="C11" s="4"/>
      <c r="D11" s="13" t="s">
        <v>17</v>
      </c>
      <c r="E11" s="14">
        <f>COUNTIF('Risk_rule Catalog'!$G$2:$G$182,D11)</f>
        <v>68</v>
      </c>
      <c r="F11" s="4"/>
      <c r="G11" s="15" t="s">
        <v>18</v>
      </c>
      <c r="H11" s="16">
        <f>COUNTIF('Risk_rule Catalog'!$D$2:$D$182,G11)</f>
        <v>68</v>
      </c>
      <c r="I11" s="4"/>
      <c r="J11" s="4"/>
      <c r="K11" s="4"/>
      <c r="L11" s="4"/>
      <c r="M11" s="4"/>
      <c r="N11" s="4"/>
      <c r="O11" s="4"/>
      <c r="P11" s="4"/>
      <c r="Q11" s="4"/>
    </row>
    <row r="12" spans="1:17">
      <c r="A12" s="15" t="s">
        <v>19</v>
      </c>
      <c r="B12" s="16">
        <f>COUNTIF('Risk_rule Catalog'!$F$2:$F$182,A12)</f>
        <v>3</v>
      </c>
      <c r="C12" s="4"/>
      <c r="D12" s="13" t="s">
        <v>20</v>
      </c>
      <c r="E12" s="14">
        <f>COUNTIF('Risk_rule Catalog'!$G$2:$G$182,D12)</f>
        <v>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>
      <c r="A13" s="4"/>
      <c r="B13" s="4"/>
      <c r="C13" s="4"/>
      <c r="D13" s="13" t="s">
        <v>21</v>
      </c>
      <c r="E13" s="14">
        <f>COUNTIF('Risk_rule Catalog'!$G$2:$G$182,D13)</f>
        <v>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>
      <c r="A14" s="4"/>
      <c r="B14" s="4"/>
      <c r="C14" s="4"/>
      <c r="D14" s="13" t="s">
        <v>22</v>
      </c>
      <c r="E14" s="14">
        <f>COUNTIF('Risk_rule Catalog'!$G$2:$G$182,D14)</f>
        <v>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>
      <c r="A15" s="4"/>
      <c r="B15" s="4"/>
      <c r="C15" s="4"/>
      <c r="D15" s="15" t="s">
        <v>23</v>
      </c>
      <c r="E15" s="16">
        <f>COUNTIF('Risk_rule Catalog'!$G$2:$G$182,D15)</f>
        <v>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33" t="s">
        <v>24</v>
      </c>
      <c r="B18" s="33" t="s">
        <v>24</v>
      </c>
      <c r="C18" s="33" t="s">
        <v>24</v>
      </c>
      <c r="D18" s="33" t="s">
        <v>24</v>
      </c>
      <c r="E18" s="33" t="s">
        <v>24</v>
      </c>
      <c r="F18" s="33" t="s">
        <v>24</v>
      </c>
      <c r="G18" s="33" t="s">
        <v>24</v>
      </c>
      <c r="H18" s="33" t="s">
        <v>24</v>
      </c>
      <c r="I18" s="4"/>
      <c r="J18" s="4"/>
      <c r="K18" s="4"/>
      <c r="L18" s="4"/>
      <c r="M18" s="4"/>
      <c r="N18" s="4"/>
      <c r="O18" s="4"/>
      <c r="P18" s="4"/>
      <c r="Q18" s="4"/>
    </row>
    <row r="19" spans="1:17">
      <c r="A19" s="34" t="s">
        <v>25</v>
      </c>
      <c r="B19" s="34" t="s">
        <v>25</v>
      </c>
      <c r="C19" s="34" t="s">
        <v>25</v>
      </c>
      <c r="D19" s="34" t="s">
        <v>25</v>
      </c>
      <c r="E19" s="34" t="s">
        <v>25</v>
      </c>
      <c r="F19" s="34" t="s">
        <v>25</v>
      </c>
      <c r="G19" s="34" t="s">
        <v>25</v>
      </c>
      <c r="H19" s="34" t="s">
        <v>25</v>
      </c>
      <c r="I19" s="4"/>
      <c r="J19" s="4"/>
      <c r="K19" s="4"/>
      <c r="L19" s="4"/>
      <c r="M19" s="4"/>
      <c r="N19" s="4"/>
      <c r="O19" s="4"/>
      <c r="P19" s="4"/>
      <c r="Q19" s="4"/>
    </row>
    <row r="20" spans="1:17">
      <c r="A20" s="34" t="s">
        <v>25</v>
      </c>
      <c r="B20" s="34" t="s">
        <v>25</v>
      </c>
      <c r="C20" s="34" t="s">
        <v>25</v>
      </c>
      <c r="D20" s="34" t="s">
        <v>25</v>
      </c>
      <c r="E20" s="34" t="s">
        <v>25</v>
      </c>
      <c r="F20" s="34" t="s">
        <v>25</v>
      </c>
      <c r="G20" s="34" t="s">
        <v>25</v>
      </c>
      <c r="H20" s="34" t="s">
        <v>25</v>
      </c>
      <c r="I20" s="4"/>
      <c r="J20" s="4"/>
      <c r="K20" s="4"/>
      <c r="L20" s="4"/>
      <c r="M20" s="4"/>
      <c r="N20" s="4"/>
      <c r="O20" s="4"/>
      <c r="P20" s="4"/>
      <c r="Q20" s="4"/>
    </row>
    <row r="21" spans="1:17" ht="14.5">
      <c r="A21" s="35" t="s">
        <v>26</v>
      </c>
      <c r="B21" s="35" t="s">
        <v>26</v>
      </c>
      <c r="C21" s="35" t="s">
        <v>26</v>
      </c>
      <c r="D21" s="35" t="s">
        <v>26</v>
      </c>
      <c r="E21" s="35" t="s">
        <v>26</v>
      </c>
      <c r="F21" s="35" t="s">
        <v>26</v>
      </c>
      <c r="G21" s="35" t="s">
        <v>26</v>
      </c>
      <c r="H21" s="35" t="s">
        <v>26</v>
      </c>
      <c r="I21" s="4"/>
      <c r="J21" s="4"/>
      <c r="K21" s="4"/>
      <c r="L21" s="4"/>
      <c r="M21" s="4"/>
      <c r="N21" s="4"/>
      <c r="O21" s="4"/>
      <c r="P21" s="4"/>
      <c r="Q21" s="4"/>
    </row>
  </sheetData>
  <mergeCells count="4">
    <mergeCell ref="A1:Q2"/>
    <mergeCell ref="A18:H18"/>
    <mergeCell ref="A19:H20"/>
    <mergeCell ref="A21:H21"/>
  </mergeCells>
  <conditionalFormatting sqref="A9:A12">
    <cfRule type="containsText" dxfId="27" priority="1" operator="containsText" text="Critical"/>
    <cfRule type="containsText" dxfId="26" priority="2" operator="containsText" text="High"/>
    <cfRule type="containsText" dxfId="25" priority="3" operator="containsText" text="Medium"/>
    <cfRule type="containsText" dxfId="24" priority="4" operator="containsText" text="Low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2"/>
  <sheetViews>
    <sheetView showGridLines="0" tabSelected="1" topLeftCell="P1" workbookViewId="0">
      <selection activeCell="S3" sqref="S3"/>
    </sheetView>
  </sheetViews>
  <sheetFormatPr defaultRowHeight="14"/>
  <cols>
    <col min="1" max="1" width="16" style="31" customWidth="1"/>
    <col min="2" max="2" width="56.25" style="31" customWidth="1"/>
    <col min="3" max="3" width="15" style="31" customWidth="1"/>
    <col min="4" max="4" width="14" style="31" customWidth="1"/>
    <col min="5" max="5" width="24" style="31" customWidth="1"/>
    <col min="6" max="6" width="12" style="31" customWidth="1"/>
    <col min="7" max="7" width="16" style="31" customWidth="1"/>
    <col min="8" max="11" width="25" style="31" customWidth="1"/>
    <col min="12" max="12" width="38" style="31" customWidth="1"/>
    <col min="13" max="13" width="48" style="31" customWidth="1"/>
    <col min="14" max="14" width="40" style="31" customWidth="1"/>
    <col min="15" max="16" width="34" style="31" customWidth="1"/>
    <col min="17" max="17" width="42" style="31" customWidth="1"/>
    <col min="18" max="18" width="54" style="31" customWidth="1"/>
    <col min="19" max="19" width="74.58203125" style="31" customWidth="1"/>
  </cols>
  <sheetData>
    <row r="1" spans="1:19" ht="34" customHeight="1">
      <c r="A1" s="26" t="s">
        <v>27</v>
      </c>
      <c r="B1" s="26" t="s">
        <v>28</v>
      </c>
      <c r="C1" s="26" t="s">
        <v>29</v>
      </c>
      <c r="D1" s="26" t="s">
        <v>11</v>
      </c>
      <c r="E1" s="26" t="s">
        <v>30</v>
      </c>
      <c r="F1" s="26" t="s">
        <v>8</v>
      </c>
      <c r="G1" s="26" t="s">
        <v>10</v>
      </c>
      <c r="H1" s="26" t="s">
        <v>31</v>
      </c>
      <c r="I1" s="26" t="s">
        <v>32</v>
      </c>
      <c r="J1" s="26" t="s">
        <v>33</v>
      </c>
      <c r="K1" s="26" t="s">
        <v>34</v>
      </c>
      <c r="L1" s="26" t="s">
        <v>35</v>
      </c>
      <c r="M1" s="26" t="s">
        <v>36</v>
      </c>
      <c r="N1" s="26" t="s">
        <v>37</v>
      </c>
      <c r="O1" s="26" t="s">
        <v>38</v>
      </c>
      <c r="P1" s="26" t="s">
        <v>39</v>
      </c>
      <c r="Q1" s="26" t="s">
        <v>40</v>
      </c>
      <c r="R1" s="26" t="s">
        <v>41</v>
      </c>
      <c r="S1" s="36" t="s">
        <v>1181</v>
      </c>
    </row>
    <row r="2" spans="1:19" ht="46" customHeight="1">
      <c r="A2" s="27" t="s">
        <v>42</v>
      </c>
      <c r="B2" s="28" t="s">
        <v>43</v>
      </c>
      <c r="C2" s="29" t="s">
        <v>44</v>
      </c>
      <c r="D2" s="29" t="s">
        <v>15</v>
      </c>
      <c r="E2" s="28" t="s">
        <v>45</v>
      </c>
      <c r="F2" s="29" t="s">
        <v>5</v>
      </c>
      <c r="G2" s="29" t="s">
        <v>12</v>
      </c>
      <c r="H2" s="28" t="s">
        <v>46</v>
      </c>
      <c r="I2" s="28" t="s">
        <v>47</v>
      </c>
      <c r="J2" s="28" t="s">
        <v>48</v>
      </c>
      <c r="K2" s="28" t="s">
        <v>49</v>
      </c>
      <c r="L2" s="28" t="s">
        <v>50</v>
      </c>
      <c r="M2" s="28"/>
      <c r="N2" s="28" t="s">
        <v>51</v>
      </c>
      <c r="O2" s="28"/>
      <c r="P2" s="28"/>
      <c r="Q2" s="28" t="s">
        <v>52</v>
      </c>
      <c r="R2" s="30" t="s">
        <v>53</v>
      </c>
      <c r="S2" s="37" t="s">
        <v>1182</v>
      </c>
    </row>
    <row r="3" spans="1:19" ht="46" customHeight="1">
      <c r="A3" s="27" t="s">
        <v>54</v>
      </c>
      <c r="B3" s="28" t="s">
        <v>55</v>
      </c>
      <c r="C3" s="29" t="s">
        <v>44</v>
      </c>
      <c r="D3" s="29" t="s">
        <v>13</v>
      </c>
      <c r="E3" s="28" t="s">
        <v>56</v>
      </c>
      <c r="F3" s="29" t="s">
        <v>6</v>
      </c>
      <c r="G3" s="29" t="s">
        <v>14</v>
      </c>
      <c r="H3" s="28" t="s">
        <v>57</v>
      </c>
      <c r="I3" s="28"/>
      <c r="J3" s="28"/>
      <c r="K3" s="28"/>
      <c r="L3" s="28" t="s">
        <v>55</v>
      </c>
      <c r="M3" s="28" t="s">
        <v>58</v>
      </c>
      <c r="N3" s="28" t="s">
        <v>59</v>
      </c>
      <c r="O3" s="28" t="s">
        <v>60</v>
      </c>
      <c r="P3" s="28" t="s">
        <v>61</v>
      </c>
      <c r="Q3" s="28" t="s">
        <v>62</v>
      </c>
      <c r="R3" s="30" t="s">
        <v>63</v>
      </c>
      <c r="S3" s="37" t="s">
        <v>1183</v>
      </c>
    </row>
    <row r="4" spans="1:19" ht="46" customHeight="1">
      <c r="A4" s="27" t="s">
        <v>64</v>
      </c>
      <c r="B4" s="28" t="s">
        <v>65</v>
      </c>
      <c r="C4" s="29" t="s">
        <v>44</v>
      </c>
      <c r="D4" s="29" t="s">
        <v>13</v>
      </c>
      <c r="E4" s="28" t="s">
        <v>56</v>
      </c>
      <c r="F4" s="29" t="s">
        <v>6</v>
      </c>
      <c r="G4" s="29" t="s">
        <v>14</v>
      </c>
      <c r="H4" s="28" t="s">
        <v>57</v>
      </c>
      <c r="I4" s="28"/>
      <c r="J4" s="28"/>
      <c r="K4" s="28"/>
      <c r="L4" s="28" t="s">
        <v>65</v>
      </c>
      <c r="M4" s="28" t="s">
        <v>66</v>
      </c>
      <c r="N4" s="28" t="s">
        <v>67</v>
      </c>
      <c r="O4" s="28" t="s">
        <v>60</v>
      </c>
      <c r="P4" s="28" t="s">
        <v>68</v>
      </c>
      <c r="Q4" s="28" t="s">
        <v>62</v>
      </c>
      <c r="R4" s="30" t="s">
        <v>63</v>
      </c>
      <c r="S4" s="37" t="s">
        <v>1183</v>
      </c>
    </row>
    <row r="5" spans="1:19" ht="46" customHeight="1">
      <c r="A5" s="27" t="s">
        <v>69</v>
      </c>
      <c r="B5" s="28" t="s">
        <v>70</v>
      </c>
      <c r="C5" s="29" t="s">
        <v>44</v>
      </c>
      <c r="D5" s="29" t="s">
        <v>13</v>
      </c>
      <c r="E5" s="28" t="s">
        <v>56</v>
      </c>
      <c r="F5" s="29" t="s">
        <v>16</v>
      </c>
      <c r="G5" s="29" t="s">
        <v>14</v>
      </c>
      <c r="H5" s="28" t="s">
        <v>57</v>
      </c>
      <c r="I5" s="28"/>
      <c r="J5" s="28" t="s">
        <v>48</v>
      </c>
      <c r="K5" s="28"/>
      <c r="L5" s="28" t="s">
        <v>70</v>
      </c>
      <c r="M5" s="28" t="s">
        <v>71</v>
      </c>
      <c r="N5" s="28" t="s">
        <v>72</v>
      </c>
      <c r="O5" s="28" t="s">
        <v>60</v>
      </c>
      <c r="P5" s="28" t="s">
        <v>73</v>
      </c>
      <c r="Q5" s="28" t="s">
        <v>62</v>
      </c>
      <c r="R5" s="30" t="s">
        <v>63</v>
      </c>
      <c r="S5" s="37" t="s">
        <v>1183</v>
      </c>
    </row>
    <row r="6" spans="1:19" ht="46" customHeight="1">
      <c r="A6" s="27" t="s">
        <v>74</v>
      </c>
      <c r="B6" s="28" t="s">
        <v>75</v>
      </c>
      <c r="C6" s="29" t="s">
        <v>44</v>
      </c>
      <c r="D6" s="29" t="s">
        <v>13</v>
      </c>
      <c r="E6" s="28" t="s">
        <v>56</v>
      </c>
      <c r="F6" s="29" t="s">
        <v>6</v>
      </c>
      <c r="G6" s="29" t="s">
        <v>14</v>
      </c>
      <c r="H6" s="28" t="s">
        <v>57</v>
      </c>
      <c r="I6" s="28"/>
      <c r="J6" s="28"/>
      <c r="K6" s="28"/>
      <c r="L6" s="28" t="s">
        <v>75</v>
      </c>
      <c r="M6" s="28" t="s">
        <v>76</v>
      </c>
      <c r="N6" s="28" t="s">
        <v>77</v>
      </c>
      <c r="O6" s="28" t="s">
        <v>78</v>
      </c>
      <c r="P6" s="28" t="s">
        <v>79</v>
      </c>
      <c r="Q6" s="28" t="s">
        <v>62</v>
      </c>
      <c r="R6" s="30" t="s">
        <v>63</v>
      </c>
      <c r="S6" s="37" t="s">
        <v>1184</v>
      </c>
    </row>
    <row r="7" spans="1:19" ht="46" customHeight="1">
      <c r="A7" s="27" t="s">
        <v>80</v>
      </c>
      <c r="B7" s="28" t="s">
        <v>81</v>
      </c>
      <c r="C7" s="29" t="s">
        <v>44</v>
      </c>
      <c r="D7" s="29" t="s">
        <v>13</v>
      </c>
      <c r="E7" s="28" t="s">
        <v>56</v>
      </c>
      <c r="F7" s="29" t="s">
        <v>6</v>
      </c>
      <c r="G7" s="29" t="s">
        <v>21</v>
      </c>
      <c r="H7" s="28" t="s">
        <v>57</v>
      </c>
      <c r="I7" s="28"/>
      <c r="J7" s="28"/>
      <c r="K7" s="28"/>
      <c r="L7" s="28" t="s">
        <v>81</v>
      </c>
      <c r="M7" s="28" t="s">
        <v>82</v>
      </c>
      <c r="N7" s="28" t="s">
        <v>83</v>
      </c>
      <c r="O7" s="28" t="s">
        <v>84</v>
      </c>
      <c r="P7" s="28" t="s">
        <v>85</v>
      </c>
      <c r="Q7" s="28" t="s">
        <v>62</v>
      </c>
      <c r="R7" s="30" t="s">
        <v>63</v>
      </c>
      <c r="S7" s="37" t="s">
        <v>1185</v>
      </c>
    </row>
    <row r="8" spans="1:19" ht="46" customHeight="1">
      <c r="A8" s="27" t="s">
        <v>86</v>
      </c>
      <c r="B8" s="28" t="s">
        <v>87</v>
      </c>
      <c r="C8" s="29" t="s">
        <v>44</v>
      </c>
      <c r="D8" s="29" t="s">
        <v>13</v>
      </c>
      <c r="E8" s="28" t="s">
        <v>56</v>
      </c>
      <c r="F8" s="29" t="s">
        <v>5</v>
      </c>
      <c r="G8" s="29" t="s">
        <v>12</v>
      </c>
      <c r="H8" s="28" t="s">
        <v>57</v>
      </c>
      <c r="I8" s="28" t="s">
        <v>47</v>
      </c>
      <c r="J8" s="28"/>
      <c r="K8" s="28" t="s">
        <v>88</v>
      </c>
      <c r="L8" s="28" t="s">
        <v>87</v>
      </c>
      <c r="M8" s="28" t="s">
        <v>89</v>
      </c>
      <c r="N8" s="28" t="s">
        <v>90</v>
      </c>
      <c r="O8" s="28" t="s">
        <v>91</v>
      </c>
      <c r="P8" s="28" t="s">
        <v>92</v>
      </c>
      <c r="Q8" s="28" t="s">
        <v>62</v>
      </c>
      <c r="R8" s="30" t="s">
        <v>63</v>
      </c>
      <c r="S8" s="37" t="s">
        <v>1186</v>
      </c>
    </row>
    <row r="9" spans="1:19" ht="46" customHeight="1">
      <c r="A9" s="27" t="s">
        <v>93</v>
      </c>
      <c r="B9" s="28" t="s">
        <v>94</v>
      </c>
      <c r="C9" s="29" t="s">
        <v>44</v>
      </c>
      <c r="D9" s="29" t="s">
        <v>13</v>
      </c>
      <c r="E9" s="28" t="s">
        <v>56</v>
      </c>
      <c r="F9" s="29" t="s">
        <v>5</v>
      </c>
      <c r="G9" s="29" t="s">
        <v>12</v>
      </c>
      <c r="H9" s="28" t="s">
        <v>57</v>
      </c>
      <c r="I9" s="28" t="s">
        <v>95</v>
      </c>
      <c r="J9" s="28"/>
      <c r="K9" s="28"/>
      <c r="L9" s="28" t="s">
        <v>94</v>
      </c>
      <c r="M9" s="28" t="s">
        <v>96</v>
      </c>
      <c r="N9" s="28" t="s">
        <v>97</v>
      </c>
      <c r="O9" s="28" t="s">
        <v>98</v>
      </c>
      <c r="P9" s="28" t="s">
        <v>99</v>
      </c>
      <c r="Q9" s="28" t="s">
        <v>62</v>
      </c>
      <c r="R9" s="30" t="s">
        <v>63</v>
      </c>
      <c r="S9" s="37" t="s">
        <v>1187</v>
      </c>
    </row>
    <row r="10" spans="1:19" ht="46" customHeight="1">
      <c r="A10" s="27" t="s">
        <v>100</v>
      </c>
      <c r="B10" s="28" t="s">
        <v>101</v>
      </c>
      <c r="C10" s="29" t="s">
        <v>44</v>
      </c>
      <c r="D10" s="29" t="s">
        <v>13</v>
      </c>
      <c r="E10" s="28" t="s">
        <v>56</v>
      </c>
      <c r="F10" s="29" t="s">
        <v>6</v>
      </c>
      <c r="G10" s="29" t="s">
        <v>12</v>
      </c>
      <c r="H10" s="28" t="s">
        <v>57</v>
      </c>
      <c r="I10" s="28" t="s">
        <v>47</v>
      </c>
      <c r="J10" s="28"/>
      <c r="K10" s="28" t="s">
        <v>102</v>
      </c>
      <c r="L10" s="28" t="s">
        <v>101</v>
      </c>
      <c r="M10" s="28" t="s">
        <v>103</v>
      </c>
      <c r="N10" s="28" t="s">
        <v>104</v>
      </c>
      <c r="O10" s="28" t="s">
        <v>105</v>
      </c>
      <c r="P10" s="28" t="s">
        <v>106</v>
      </c>
      <c r="Q10" s="28" t="s">
        <v>62</v>
      </c>
      <c r="R10" s="30" t="s">
        <v>63</v>
      </c>
      <c r="S10" s="37" t="s">
        <v>1188</v>
      </c>
    </row>
    <row r="11" spans="1:19" ht="46" customHeight="1">
      <c r="A11" s="27" t="s">
        <v>107</v>
      </c>
      <c r="B11" s="28" t="s">
        <v>108</v>
      </c>
      <c r="C11" s="29" t="s">
        <v>44</v>
      </c>
      <c r="D11" s="29" t="s">
        <v>13</v>
      </c>
      <c r="E11" s="28" t="s">
        <v>56</v>
      </c>
      <c r="F11" s="29" t="s">
        <v>5</v>
      </c>
      <c r="G11" s="29" t="s">
        <v>14</v>
      </c>
      <c r="H11" s="28" t="s">
        <v>109</v>
      </c>
      <c r="I11" s="28"/>
      <c r="J11" s="28"/>
      <c r="K11" s="28"/>
      <c r="L11" s="28" t="s">
        <v>108</v>
      </c>
      <c r="M11" s="28" t="s">
        <v>110</v>
      </c>
      <c r="N11" s="28" t="s">
        <v>111</v>
      </c>
      <c r="O11" s="28" t="s">
        <v>112</v>
      </c>
      <c r="P11" s="28" t="s">
        <v>113</v>
      </c>
      <c r="Q11" s="28" t="s">
        <v>62</v>
      </c>
      <c r="R11" s="30" t="s">
        <v>63</v>
      </c>
      <c r="S11" s="37" t="s">
        <v>1189</v>
      </c>
    </row>
    <row r="12" spans="1:19" ht="46" customHeight="1">
      <c r="A12" s="27" t="s">
        <v>114</v>
      </c>
      <c r="B12" s="28" t="s">
        <v>115</v>
      </c>
      <c r="C12" s="29" t="s">
        <v>44</v>
      </c>
      <c r="D12" s="29" t="s">
        <v>13</v>
      </c>
      <c r="E12" s="28" t="s">
        <v>56</v>
      </c>
      <c r="F12" s="29" t="s">
        <v>5</v>
      </c>
      <c r="G12" s="29" t="s">
        <v>12</v>
      </c>
      <c r="H12" s="28" t="s">
        <v>109</v>
      </c>
      <c r="I12" s="28"/>
      <c r="J12" s="28"/>
      <c r="K12" s="28"/>
      <c r="L12" s="28" t="s">
        <v>115</v>
      </c>
      <c r="M12" s="28" t="s">
        <v>116</v>
      </c>
      <c r="N12" s="28" t="s">
        <v>117</v>
      </c>
      <c r="O12" s="28" t="s">
        <v>118</v>
      </c>
      <c r="P12" s="28" t="s">
        <v>119</v>
      </c>
      <c r="Q12" s="28" t="s">
        <v>62</v>
      </c>
      <c r="R12" s="30" t="s">
        <v>63</v>
      </c>
      <c r="S12" s="37" t="s">
        <v>1190</v>
      </c>
    </row>
    <row r="13" spans="1:19" ht="46" hidden="1" customHeight="1">
      <c r="A13" s="27" t="s">
        <v>120</v>
      </c>
      <c r="B13" s="28" t="s">
        <v>121</v>
      </c>
      <c r="C13" s="29" t="s">
        <v>44</v>
      </c>
      <c r="D13" s="29" t="s">
        <v>13</v>
      </c>
      <c r="E13" s="28" t="s">
        <v>122</v>
      </c>
      <c r="F13" s="29" t="s">
        <v>5</v>
      </c>
      <c r="G13" s="29" t="s">
        <v>22</v>
      </c>
      <c r="H13" s="28" t="s">
        <v>46</v>
      </c>
      <c r="I13" s="28"/>
      <c r="J13" s="28"/>
      <c r="K13" s="28" t="s">
        <v>123</v>
      </c>
      <c r="L13" s="28" t="s">
        <v>121</v>
      </c>
      <c r="M13" s="28" t="s">
        <v>124</v>
      </c>
      <c r="N13" s="28" t="s">
        <v>125</v>
      </c>
      <c r="O13" s="28" t="s">
        <v>126</v>
      </c>
      <c r="P13" s="28" t="s">
        <v>127</v>
      </c>
      <c r="Q13" s="28" t="s">
        <v>128</v>
      </c>
      <c r="R13" s="30" t="s">
        <v>129</v>
      </c>
      <c r="S13" s="37" t="s">
        <v>1191</v>
      </c>
    </row>
    <row r="14" spans="1:19" ht="46" hidden="1" customHeight="1">
      <c r="A14" s="27" t="s">
        <v>130</v>
      </c>
      <c r="B14" s="28" t="s">
        <v>131</v>
      </c>
      <c r="C14" s="29" t="s">
        <v>44</v>
      </c>
      <c r="D14" s="29" t="s">
        <v>13</v>
      </c>
      <c r="E14" s="28" t="s">
        <v>122</v>
      </c>
      <c r="F14" s="29" t="s">
        <v>5</v>
      </c>
      <c r="G14" s="29" t="s">
        <v>12</v>
      </c>
      <c r="H14" s="28" t="s">
        <v>109</v>
      </c>
      <c r="I14" s="28"/>
      <c r="J14" s="28"/>
      <c r="K14" s="28"/>
      <c r="L14" s="28" t="s">
        <v>131</v>
      </c>
      <c r="M14" s="28" t="s">
        <v>132</v>
      </c>
      <c r="N14" s="28" t="s">
        <v>133</v>
      </c>
      <c r="O14" s="28" t="s">
        <v>134</v>
      </c>
      <c r="P14" s="28" t="s">
        <v>135</v>
      </c>
      <c r="Q14" s="28" t="s">
        <v>128</v>
      </c>
      <c r="R14" s="30" t="s">
        <v>129</v>
      </c>
      <c r="S14" s="37" t="s">
        <v>1192</v>
      </c>
    </row>
    <row r="15" spans="1:19" ht="46" customHeight="1">
      <c r="A15" s="27" t="s">
        <v>136</v>
      </c>
      <c r="B15" s="28" t="s">
        <v>137</v>
      </c>
      <c r="C15" s="29" t="s">
        <v>44</v>
      </c>
      <c r="D15" s="29" t="s">
        <v>13</v>
      </c>
      <c r="E15" s="28" t="s">
        <v>138</v>
      </c>
      <c r="F15" s="29" t="s">
        <v>5</v>
      </c>
      <c r="G15" s="29" t="s">
        <v>12</v>
      </c>
      <c r="H15" s="28" t="s">
        <v>139</v>
      </c>
      <c r="I15" s="28" t="s">
        <v>140</v>
      </c>
      <c r="J15" s="28" t="s">
        <v>141</v>
      </c>
      <c r="K15" s="28"/>
      <c r="L15" s="28" t="s">
        <v>137</v>
      </c>
      <c r="M15" s="28" t="s">
        <v>142</v>
      </c>
      <c r="N15" s="28" t="s">
        <v>143</v>
      </c>
      <c r="O15" s="28" t="s">
        <v>144</v>
      </c>
      <c r="P15" s="28" t="s">
        <v>145</v>
      </c>
      <c r="Q15" s="28" t="s">
        <v>146</v>
      </c>
      <c r="R15" s="30" t="s">
        <v>147</v>
      </c>
      <c r="S15" s="37" t="s">
        <v>1193</v>
      </c>
    </row>
    <row r="16" spans="1:19" ht="46" hidden="1" customHeight="1">
      <c r="A16" s="27" t="s">
        <v>148</v>
      </c>
      <c r="B16" s="28" t="s">
        <v>149</v>
      </c>
      <c r="C16" s="29" t="s">
        <v>44</v>
      </c>
      <c r="D16" s="29" t="s">
        <v>13</v>
      </c>
      <c r="E16" s="28" t="s">
        <v>122</v>
      </c>
      <c r="F16" s="29" t="s">
        <v>5</v>
      </c>
      <c r="G16" s="29" t="s">
        <v>14</v>
      </c>
      <c r="H16" s="28" t="s">
        <v>150</v>
      </c>
      <c r="I16" s="28"/>
      <c r="J16" s="28"/>
      <c r="K16" s="28"/>
      <c r="L16" s="28" t="s">
        <v>149</v>
      </c>
      <c r="M16" s="28" t="s">
        <v>151</v>
      </c>
      <c r="N16" s="28" t="s">
        <v>152</v>
      </c>
      <c r="O16" s="28" t="s">
        <v>60</v>
      </c>
      <c r="P16" s="28" t="s">
        <v>153</v>
      </c>
      <c r="Q16" s="28" t="s">
        <v>128</v>
      </c>
      <c r="R16" s="30" t="s">
        <v>129</v>
      </c>
      <c r="S16" s="37" t="s">
        <v>1194</v>
      </c>
    </row>
    <row r="17" spans="1:19" ht="46" hidden="1" customHeight="1">
      <c r="A17" s="27" t="s">
        <v>154</v>
      </c>
      <c r="B17" s="28" t="s">
        <v>155</v>
      </c>
      <c r="C17" s="29" t="s">
        <v>44</v>
      </c>
      <c r="D17" s="29" t="s">
        <v>13</v>
      </c>
      <c r="E17" s="28" t="s">
        <v>122</v>
      </c>
      <c r="F17" s="29" t="s">
        <v>5</v>
      </c>
      <c r="G17" s="29" t="s">
        <v>12</v>
      </c>
      <c r="H17" s="28" t="s">
        <v>46</v>
      </c>
      <c r="I17" s="28" t="s">
        <v>95</v>
      </c>
      <c r="J17" s="28" t="s">
        <v>156</v>
      </c>
      <c r="K17" s="28" t="s">
        <v>88</v>
      </c>
      <c r="L17" s="28" t="s">
        <v>155</v>
      </c>
      <c r="M17" s="28" t="s">
        <v>157</v>
      </c>
      <c r="N17" s="28" t="s">
        <v>158</v>
      </c>
      <c r="O17" s="28" t="s">
        <v>159</v>
      </c>
      <c r="P17" s="28" t="s">
        <v>160</v>
      </c>
      <c r="Q17" s="28" t="s">
        <v>128</v>
      </c>
      <c r="R17" s="30" t="s">
        <v>129</v>
      </c>
      <c r="S17" s="37" t="s">
        <v>1186</v>
      </c>
    </row>
    <row r="18" spans="1:19" ht="46" hidden="1" customHeight="1">
      <c r="A18" s="27" t="s">
        <v>161</v>
      </c>
      <c r="B18" s="28" t="s">
        <v>162</v>
      </c>
      <c r="C18" s="29" t="s">
        <v>44</v>
      </c>
      <c r="D18" s="29" t="s">
        <v>13</v>
      </c>
      <c r="E18" s="28" t="s">
        <v>122</v>
      </c>
      <c r="F18" s="29" t="s">
        <v>6</v>
      </c>
      <c r="G18" s="29" t="s">
        <v>14</v>
      </c>
      <c r="H18" s="28" t="s">
        <v>57</v>
      </c>
      <c r="I18" s="28"/>
      <c r="J18" s="28"/>
      <c r="K18" s="28"/>
      <c r="L18" s="28" t="s">
        <v>162</v>
      </c>
      <c r="M18" s="28" t="s">
        <v>163</v>
      </c>
      <c r="N18" s="28" t="s">
        <v>164</v>
      </c>
      <c r="O18" s="28" t="s">
        <v>165</v>
      </c>
      <c r="P18" s="28" t="s">
        <v>166</v>
      </c>
      <c r="Q18" s="28" t="s">
        <v>128</v>
      </c>
      <c r="R18" s="30" t="s">
        <v>129</v>
      </c>
      <c r="S18" s="37" t="s">
        <v>1195</v>
      </c>
    </row>
    <row r="19" spans="1:19" ht="46" hidden="1" customHeight="1">
      <c r="A19" s="27" t="s">
        <v>167</v>
      </c>
      <c r="B19" s="28" t="s">
        <v>168</v>
      </c>
      <c r="C19" s="29" t="s">
        <v>44</v>
      </c>
      <c r="D19" s="29" t="s">
        <v>13</v>
      </c>
      <c r="E19" s="28" t="s">
        <v>122</v>
      </c>
      <c r="F19" s="29" t="s">
        <v>5</v>
      </c>
      <c r="G19" s="29" t="s">
        <v>22</v>
      </c>
      <c r="H19" s="28" t="s">
        <v>46</v>
      </c>
      <c r="I19" s="28" t="s">
        <v>47</v>
      </c>
      <c r="J19" s="28"/>
      <c r="K19" s="28" t="s">
        <v>169</v>
      </c>
      <c r="L19" s="28" t="s">
        <v>168</v>
      </c>
      <c r="M19" s="28" t="s">
        <v>170</v>
      </c>
      <c r="N19" s="28" t="s">
        <v>171</v>
      </c>
      <c r="O19" s="28" t="s">
        <v>172</v>
      </c>
      <c r="P19" s="28" t="s">
        <v>173</v>
      </c>
      <c r="Q19" s="28" t="s">
        <v>128</v>
      </c>
      <c r="R19" s="30" t="s">
        <v>129</v>
      </c>
      <c r="S19" s="37" t="s">
        <v>1196</v>
      </c>
    </row>
    <row r="20" spans="1:19" ht="46" hidden="1" customHeight="1">
      <c r="A20" s="27" t="s">
        <v>174</v>
      </c>
      <c r="B20" s="28" t="s">
        <v>175</v>
      </c>
      <c r="C20" s="29" t="s">
        <v>44</v>
      </c>
      <c r="D20" s="29" t="s">
        <v>13</v>
      </c>
      <c r="E20" s="28" t="s">
        <v>122</v>
      </c>
      <c r="F20" s="29" t="s">
        <v>6</v>
      </c>
      <c r="G20" s="29" t="s">
        <v>14</v>
      </c>
      <c r="H20" s="28" t="s">
        <v>176</v>
      </c>
      <c r="I20" s="28"/>
      <c r="J20" s="28"/>
      <c r="K20" s="28"/>
      <c r="L20" s="28" t="s">
        <v>175</v>
      </c>
      <c r="M20" s="28" t="s">
        <v>177</v>
      </c>
      <c r="N20" s="28" t="s">
        <v>178</v>
      </c>
      <c r="O20" s="28" t="s">
        <v>179</v>
      </c>
      <c r="P20" s="28" t="s">
        <v>180</v>
      </c>
      <c r="Q20" s="28" t="s">
        <v>128</v>
      </c>
      <c r="R20" s="30" t="s">
        <v>129</v>
      </c>
      <c r="S20" s="37" t="s">
        <v>1197</v>
      </c>
    </row>
    <row r="21" spans="1:19" ht="46" customHeight="1">
      <c r="A21" s="27" t="s">
        <v>181</v>
      </c>
      <c r="B21" s="28" t="s">
        <v>182</v>
      </c>
      <c r="C21" s="29" t="s">
        <v>44</v>
      </c>
      <c r="D21" s="29" t="s">
        <v>13</v>
      </c>
      <c r="E21" s="28" t="s">
        <v>183</v>
      </c>
      <c r="F21" s="29" t="s">
        <v>5</v>
      </c>
      <c r="G21" s="29" t="s">
        <v>20</v>
      </c>
      <c r="H21" s="28" t="s">
        <v>150</v>
      </c>
      <c r="I21" s="28" t="s">
        <v>184</v>
      </c>
      <c r="J21" s="28"/>
      <c r="K21" s="28"/>
      <c r="L21" s="28" t="s">
        <v>182</v>
      </c>
      <c r="M21" s="28" t="s">
        <v>185</v>
      </c>
      <c r="N21" s="28" t="s">
        <v>186</v>
      </c>
      <c r="O21" s="28" t="s">
        <v>187</v>
      </c>
      <c r="P21" s="28" t="s">
        <v>188</v>
      </c>
      <c r="Q21" s="28" t="s">
        <v>189</v>
      </c>
      <c r="R21" s="30" t="s">
        <v>190</v>
      </c>
      <c r="S21" s="37" t="s">
        <v>1198</v>
      </c>
    </row>
    <row r="22" spans="1:19" ht="46" customHeight="1">
      <c r="A22" s="27" t="s">
        <v>191</v>
      </c>
      <c r="B22" s="28" t="s">
        <v>192</v>
      </c>
      <c r="C22" s="29" t="s">
        <v>44</v>
      </c>
      <c r="D22" s="29" t="s">
        <v>13</v>
      </c>
      <c r="E22" s="28" t="s">
        <v>183</v>
      </c>
      <c r="F22" s="29" t="s">
        <v>5</v>
      </c>
      <c r="G22" s="29" t="s">
        <v>14</v>
      </c>
      <c r="H22" s="28" t="s">
        <v>150</v>
      </c>
      <c r="I22" s="28"/>
      <c r="J22" s="28"/>
      <c r="K22" s="28" t="s">
        <v>193</v>
      </c>
      <c r="L22" s="28" t="s">
        <v>192</v>
      </c>
      <c r="M22" s="28" t="s">
        <v>194</v>
      </c>
      <c r="N22" s="28" t="s">
        <v>195</v>
      </c>
      <c r="O22" s="28" t="s">
        <v>60</v>
      </c>
      <c r="P22" s="28" t="s">
        <v>196</v>
      </c>
      <c r="Q22" s="28" t="s">
        <v>189</v>
      </c>
      <c r="R22" s="30" t="s">
        <v>190</v>
      </c>
      <c r="S22" s="37" t="s">
        <v>1199</v>
      </c>
    </row>
    <row r="23" spans="1:19" ht="46" customHeight="1">
      <c r="A23" s="27" t="s">
        <v>197</v>
      </c>
      <c r="B23" s="28" t="s">
        <v>198</v>
      </c>
      <c r="C23" s="29" t="s">
        <v>44</v>
      </c>
      <c r="D23" s="29" t="s">
        <v>13</v>
      </c>
      <c r="E23" s="28" t="s">
        <v>183</v>
      </c>
      <c r="F23" s="29" t="s">
        <v>6</v>
      </c>
      <c r="G23" s="29" t="s">
        <v>14</v>
      </c>
      <c r="H23" s="28" t="s">
        <v>150</v>
      </c>
      <c r="I23" s="28"/>
      <c r="J23" s="28"/>
      <c r="K23" s="28" t="s">
        <v>88</v>
      </c>
      <c r="L23" s="28" t="s">
        <v>198</v>
      </c>
      <c r="M23" s="28" t="s">
        <v>199</v>
      </c>
      <c r="N23" s="28" t="s">
        <v>200</v>
      </c>
      <c r="O23" s="28" t="s">
        <v>60</v>
      </c>
      <c r="P23" s="28" t="s">
        <v>201</v>
      </c>
      <c r="Q23" s="28" t="s">
        <v>189</v>
      </c>
      <c r="R23" s="30" t="s">
        <v>190</v>
      </c>
      <c r="S23" s="37" t="s">
        <v>1200</v>
      </c>
    </row>
    <row r="24" spans="1:19" ht="46" customHeight="1">
      <c r="A24" s="27" t="s">
        <v>202</v>
      </c>
      <c r="B24" s="28" t="s">
        <v>203</v>
      </c>
      <c r="C24" s="29" t="s">
        <v>44</v>
      </c>
      <c r="D24" s="29" t="s">
        <v>13</v>
      </c>
      <c r="E24" s="28" t="s">
        <v>183</v>
      </c>
      <c r="F24" s="29" t="s">
        <v>5</v>
      </c>
      <c r="G24" s="29" t="s">
        <v>14</v>
      </c>
      <c r="H24" s="28" t="s">
        <v>150</v>
      </c>
      <c r="I24" s="28"/>
      <c r="J24" s="28"/>
      <c r="K24" s="28"/>
      <c r="L24" s="28" t="s">
        <v>203</v>
      </c>
      <c r="M24" s="28" t="s">
        <v>204</v>
      </c>
      <c r="N24" s="28" t="s">
        <v>205</v>
      </c>
      <c r="O24" s="28" t="s">
        <v>206</v>
      </c>
      <c r="P24" s="28" t="s">
        <v>207</v>
      </c>
      <c r="Q24" s="28" t="s">
        <v>189</v>
      </c>
      <c r="R24" s="30" t="s">
        <v>190</v>
      </c>
      <c r="S24" s="37" t="s">
        <v>1201</v>
      </c>
    </row>
    <row r="25" spans="1:19" ht="46" customHeight="1">
      <c r="A25" s="27" t="s">
        <v>208</v>
      </c>
      <c r="B25" s="28" t="s">
        <v>209</v>
      </c>
      <c r="C25" s="29" t="s">
        <v>44</v>
      </c>
      <c r="D25" s="29" t="s">
        <v>13</v>
      </c>
      <c r="E25" s="28" t="s">
        <v>210</v>
      </c>
      <c r="F25" s="29" t="s">
        <v>5</v>
      </c>
      <c r="G25" s="29" t="s">
        <v>12</v>
      </c>
      <c r="H25" s="28" t="s">
        <v>211</v>
      </c>
      <c r="I25" s="28" t="s">
        <v>212</v>
      </c>
      <c r="J25" s="28" t="s">
        <v>48</v>
      </c>
      <c r="K25" s="28" t="s">
        <v>88</v>
      </c>
      <c r="L25" s="28" t="s">
        <v>209</v>
      </c>
      <c r="M25" s="28" t="s">
        <v>213</v>
      </c>
      <c r="N25" s="28" t="s">
        <v>214</v>
      </c>
      <c r="O25" s="28" t="s">
        <v>215</v>
      </c>
      <c r="P25" s="28" t="s">
        <v>216</v>
      </c>
      <c r="Q25" s="28" t="s">
        <v>217</v>
      </c>
      <c r="R25" s="30" t="s">
        <v>218</v>
      </c>
      <c r="S25" s="37" t="s">
        <v>1202</v>
      </c>
    </row>
    <row r="26" spans="1:19" ht="46" customHeight="1">
      <c r="A26" s="27" t="s">
        <v>219</v>
      </c>
      <c r="B26" s="28" t="s">
        <v>220</v>
      </c>
      <c r="C26" s="29" t="s">
        <v>44</v>
      </c>
      <c r="D26" s="29" t="s">
        <v>13</v>
      </c>
      <c r="E26" s="28" t="s">
        <v>210</v>
      </c>
      <c r="F26" s="29" t="s">
        <v>5</v>
      </c>
      <c r="G26" s="29" t="s">
        <v>12</v>
      </c>
      <c r="H26" s="28" t="s">
        <v>211</v>
      </c>
      <c r="I26" s="28" t="s">
        <v>212</v>
      </c>
      <c r="J26" s="28" t="s">
        <v>221</v>
      </c>
      <c r="K26" s="28" t="s">
        <v>88</v>
      </c>
      <c r="L26" s="28" t="s">
        <v>220</v>
      </c>
      <c r="M26" s="28" t="s">
        <v>222</v>
      </c>
      <c r="N26" s="28" t="s">
        <v>223</v>
      </c>
      <c r="O26" s="28" t="s">
        <v>224</v>
      </c>
      <c r="P26" s="28" t="s">
        <v>225</v>
      </c>
      <c r="Q26" s="28" t="s">
        <v>217</v>
      </c>
      <c r="R26" s="30" t="s">
        <v>218</v>
      </c>
      <c r="S26" s="37" t="s">
        <v>1202</v>
      </c>
    </row>
    <row r="27" spans="1:19" ht="46" customHeight="1">
      <c r="A27" s="27" t="s">
        <v>226</v>
      </c>
      <c r="B27" s="28" t="s">
        <v>227</v>
      </c>
      <c r="C27" s="29" t="s">
        <v>44</v>
      </c>
      <c r="D27" s="29" t="s">
        <v>13</v>
      </c>
      <c r="E27" s="28" t="s">
        <v>210</v>
      </c>
      <c r="F27" s="29" t="s">
        <v>6</v>
      </c>
      <c r="G27" s="29" t="s">
        <v>12</v>
      </c>
      <c r="H27" s="28" t="s">
        <v>211</v>
      </c>
      <c r="I27" s="28" t="s">
        <v>228</v>
      </c>
      <c r="J27" s="28"/>
      <c r="K27" s="28" t="s">
        <v>88</v>
      </c>
      <c r="L27" s="28" t="s">
        <v>227</v>
      </c>
      <c r="M27" s="28" t="s">
        <v>229</v>
      </c>
      <c r="N27" s="28" t="s">
        <v>230</v>
      </c>
      <c r="O27" s="28" t="s">
        <v>231</v>
      </c>
      <c r="P27" s="28" t="s">
        <v>232</v>
      </c>
      <c r="Q27" s="28" t="s">
        <v>217</v>
      </c>
      <c r="R27" s="30" t="s">
        <v>218</v>
      </c>
      <c r="S27" s="37" t="s">
        <v>1202</v>
      </c>
    </row>
    <row r="28" spans="1:19" ht="46" customHeight="1">
      <c r="A28" s="27" t="s">
        <v>233</v>
      </c>
      <c r="B28" s="28" t="s">
        <v>234</v>
      </c>
      <c r="C28" s="29" t="s">
        <v>44</v>
      </c>
      <c r="D28" s="29" t="s">
        <v>13</v>
      </c>
      <c r="E28" s="28" t="s">
        <v>235</v>
      </c>
      <c r="F28" s="29" t="s">
        <v>5</v>
      </c>
      <c r="G28" s="29" t="s">
        <v>12</v>
      </c>
      <c r="H28" s="28" t="s">
        <v>211</v>
      </c>
      <c r="I28" s="28" t="s">
        <v>236</v>
      </c>
      <c r="J28" s="28" t="s">
        <v>237</v>
      </c>
      <c r="K28" s="28"/>
      <c r="L28" s="28" t="s">
        <v>234</v>
      </c>
      <c r="M28" s="28" t="s">
        <v>238</v>
      </c>
      <c r="N28" s="28" t="s">
        <v>239</v>
      </c>
      <c r="O28" s="28" t="s">
        <v>240</v>
      </c>
      <c r="P28" s="28" t="s">
        <v>241</v>
      </c>
      <c r="Q28" s="28" t="s">
        <v>242</v>
      </c>
      <c r="R28" s="30" t="s">
        <v>243</v>
      </c>
      <c r="S28" s="37" t="s">
        <v>1203</v>
      </c>
    </row>
    <row r="29" spans="1:19" ht="46" customHeight="1">
      <c r="A29" s="27" t="s">
        <v>244</v>
      </c>
      <c r="B29" s="28" t="s">
        <v>245</v>
      </c>
      <c r="C29" s="29" t="s">
        <v>44</v>
      </c>
      <c r="D29" s="29" t="s">
        <v>13</v>
      </c>
      <c r="E29" s="28" t="s">
        <v>235</v>
      </c>
      <c r="F29" s="29" t="s">
        <v>6</v>
      </c>
      <c r="G29" s="29" t="s">
        <v>12</v>
      </c>
      <c r="H29" s="28" t="s">
        <v>211</v>
      </c>
      <c r="I29" s="28" t="s">
        <v>95</v>
      </c>
      <c r="J29" s="28"/>
      <c r="K29" s="28" t="s">
        <v>246</v>
      </c>
      <c r="L29" s="28" t="s">
        <v>245</v>
      </c>
      <c r="M29" s="28" t="s">
        <v>247</v>
      </c>
      <c r="N29" s="28" t="s">
        <v>248</v>
      </c>
      <c r="O29" s="28" t="s">
        <v>249</v>
      </c>
      <c r="P29" s="28" t="s">
        <v>250</v>
      </c>
      <c r="Q29" s="28" t="s">
        <v>242</v>
      </c>
      <c r="R29" s="30" t="s">
        <v>243</v>
      </c>
      <c r="S29" s="37" t="s">
        <v>1204</v>
      </c>
    </row>
    <row r="30" spans="1:19" ht="46" customHeight="1">
      <c r="A30" s="27" t="s">
        <v>251</v>
      </c>
      <c r="B30" s="28" t="s">
        <v>252</v>
      </c>
      <c r="C30" s="29" t="s">
        <v>44</v>
      </c>
      <c r="D30" s="29" t="s">
        <v>13</v>
      </c>
      <c r="E30" s="28" t="s">
        <v>235</v>
      </c>
      <c r="F30" s="29" t="s">
        <v>5</v>
      </c>
      <c r="G30" s="29" t="s">
        <v>12</v>
      </c>
      <c r="H30" s="28" t="s">
        <v>211</v>
      </c>
      <c r="I30" s="28" t="s">
        <v>95</v>
      </c>
      <c r="J30" s="28"/>
      <c r="K30" s="28"/>
      <c r="L30" s="28" t="s">
        <v>252</v>
      </c>
      <c r="M30" s="28" t="s">
        <v>253</v>
      </c>
      <c r="N30" s="28" t="s">
        <v>254</v>
      </c>
      <c r="O30" s="28" t="s">
        <v>255</v>
      </c>
      <c r="P30" s="28" t="s">
        <v>256</v>
      </c>
      <c r="Q30" s="28" t="s">
        <v>242</v>
      </c>
      <c r="R30" s="30" t="s">
        <v>243</v>
      </c>
      <c r="S30" s="37" t="s">
        <v>1202</v>
      </c>
    </row>
    <row r="31" spans="1:19" ht="46" customHeight="1">
      <c r="A31" s="27" t="s">
        <v>257</v>
      </c>
      <c r="B31" s="28" t="s">
        <v>258</v>
      </c>
      <c r="C31" s="29" t="s">
        <v>44</v>
      </c>
      <c r="D31" s="29" t="s">
        <v>13</v>
      </c>
      <c r="E31" s="28" t="s">
        <v>210</v>
      </c>
      <c r="F31" s="29" t="s">
        <v>5</v>
      </c>
      <c r="G31" s="29" t="s">
        <v>12</v>
      </c>
      <c r="H31" s="28" t="s">
        <v>259</v>
      </c>
      <c r="I31" s="28" t="s">
        <v>260</v>
      </c>
      <c r="J31" s="28" t="s">
        <v>48</v>
      </c>
      <c r="K31" s="28" t="s">
        <v>261</v>
      </c>
      <c r="L31" s="28" t="s">
        <v>258</v>
      </c>
      <c r="M31" s="28" t="s">
        <v>262</v>
      </c>
      <c r="N31" s="28" t="s">
        <v>263</v>
      </c>
      <c r="O31" s="28" t="s">
        <v>264</v>
      </c>
      <c r="P31" s="28" t="s">
        <v>265</v>
      </c>
      <c r="Q31" s="28" t="s">
        <v>217</v>
      </c>
      <c r="R31" s="30" t="s">
        <v>218</v>
      </c>
      <c r="S31" s="37" t="s">
        <v>1205</v>
      </c>
    </row>
    <row r="32" spans="1:19" ht="46" customHeight="1">
      <c r="A32" s="27" t="s">
        <v>266</v>
      </c>
      <c r="B32" s="28" t="s">
        <v>267</v>
      </c>
      <c r="C32" s="29" t="s">
        <v>44</v>
      </c>
      <c r="D32" s="29" t="s">
        <v>13</v>
      </c>
      <c r="E32" s="28" t="s">
        <v>210</v>
      </c>
      <c r="F32" s="29" t="s">
        <v>6</v>
      </c>
      <c r="G32" s="29" t="s">
        <v>23</v>
      </c>
      <c r="H32" s="28" t="s">
        <v>268</v>
      </c>
      <c r="I32" s="28"/>
      <c r="J32" s="28"/>
      <c r="K32" s="28"/>
      <c r="L32" s="28" t="s">
        <v>267</v>
      </c>
      <c r="M32" s="28" t="s">
        <v>269</v>
      </c>
      <c r="N32" s="28" t="s">
        <v>270</v>
      </c>
      <c r="O32" s="28" t="s">
        <v>271</v>
      </c>
      <c r="P32" s="28" t="s">
        <v>272</v>
      </c>
      <c r="Q32" s="28" t="s">
        <v>217</v>
      </c>
      <c r="R32" s="30" t="s">
        <v>218</v>
      </c>
      <c r="S32" s="37" t="s">
        <v>1206</v>
      </c>
    </row>
    <row r="33" spans="1:19" ht="46" customHeight="1">
      <c r="A33" s="27" t="s">
        <v>273</v>
      </c>
      <c r="B33" s="28" t="s">
        <v>274</v>
      </c>
      <c r="C33" s="29" t="s">
        <v>44</v>
      </c>
      <c r="D33" s="29" t="s">
        <v>13</v>
      </c>
      <c r="E33" s="28" t="s">
        <v>210</v>
      </c>
      <c r="F33" s="29" t="s">
        <v>5</v>
      </c>
      <c r="G33" s="29" t="s">
        <v>12</v>
      </c>
      <c r="H33" s="28" t="s">
        <v>176</v>
      </c>
      <c r="I33" s="28" t="s">
        <v>275</v>
      </c>
      <c r="J33" s="28" t="s">
        <v>276</v>
      </c>
      <c r="K33" s="28" t="s">
        <v>88</v>
      </c>
      <c r="L33" s="28" t="s">
        <v>274</v>
      </c>
      <c r="M33" s="28" t="s">
        <v>277</v>
      </c>
      <c r="N33" s="28" t="s">
        <v>278</v>
      </c>
      <c r="O33" s="28" t="s">
        <v>279</v>
      </c>
      <c r="P33" s="28" t="s">
        <v>280</v>
      </c>
      <c r="Q33" s="28" t="s">
        <v>217</v>
      </c>
      <c r="R33" s="30" t="s">
        <v>218</v>
      </c>
      <c r="S33" s="37" t="s">
        <v>1202</v>
      </c>
    </row>
    <row r="34" spans="1:19" ht="46" customHeight="1">
      <c r="A34" s="27" t="s">
        <v>281</v>
      </c>
      <c r="B34" s="28" t="s">
        <v>282</v>
      </c>
      <c r="C34" s="29" t="s">
        <v>44</v>
      </c>
      <c r="D34" s="29" t="s">
        <v>13</v>
      </c>
      <c r="E34" s="28" t="s">
        <v>283</v>
      </c>
      <c r="F34" s="29" t="s">
        <v>6</v>
      </c>
      <c r="G34" s="29" t="s">
        <v>12</v>
      </c>
      <c r="H34" s="28" t="s">
        <v>211</v>
      </c>
      <c r="I34" s="28" t="s">
        <v>284</v>
      </c>
      <c r="J34" s="28" t="s">
        <v>285</v>
      </c>
      <c r="K34" s="28"/>
      <c r="L34" s="28" t="s">
        <v>282</v>
      </c>
      <c r="M34" s="28" t="s">
        <v>286</v>
      </c>
      <c r="N34" s="28" t="s">
        <v>287</v>
      </c>
      <c r="O34" s="28" t="s">
        <v>288</v>
      </c>
      <c r="P34" s="28" t="s">
        <v>289</v>
      </c>
      <c r="Q34" s="28" t="s">
        <v>290</v>
      </c>
      <c r="R34" s="30" t="s">
        <v>291</v>
      </c>
      <c r="S34" s="37" t="s">
        <v>1207</v>
      </c>
    </row>
    <row r="35" spans="1:19" ht="46" customHeight="1">
      <c r="A35" s="27" t="s">
        <v>292</v>
      </c>
      <c r="B35" s="28" t="s">
        <v>293</v>
      </c>
      <c r="C35" s="29" t="s">
        <v>44</v>
      </c>
      <c r="D35" s="29" t="s">
        <v>13</v>
      </c>
      <c r="E35" s="28" t="s">
        <v>283</v>
      </c>
      <c r="F35" s="29" t="s">
        <v>5</v>
      </c>
      <c r="G35" s="29" t="s">
        <v>12</v>
      </c>
      <c r="H35" s="28" t="s">
        <v>211</v>
      </c>
      <c r="I35" s="28" t="s">
        <v>284</v>
      </c>
      <c r="J35" s="28" t="s">
        <v>294</v>
      </c>
      <c r="K35" s="28"/>
      <c r="L35" s="28" t="s">
        <v>293</v>
      </c>
      <c r="M35" s="28" t="s">
        <v>295</v>
      </c>
      <c r="N35" s="28" t="s">
        <v>296</v>
      </c>
      <c r="O35" s="28" t="s">
        <v>288</v>
      </c>
      <c r="P35" s="28" t="s">
        <v>297</v>
      </c>
      <c r="Q35" s="28" t="s">
        <v>290</v>
      </c>
      <c r="R35" s="30" t="s">
        <v>291</v>
      </c>
      <c r="S35" s="37" t="s">
        <v>1208</v>
      </c>
    </row>
    <row r="36" spans="1:19" ht="46" customHeight="1">
      <c r="A36" s="27" t="s">
        <v>298</v>
      </c>
      <c r="B36" s="28" t="s">
        <v>299</v>
      </c>
      <c r="C36" s="29" t="s">
        <v>44</v>
      </c>
      <c r="D36" s="29" t="s">
        <v>13</v>
      </c>
      <c r="E36" s="28" t="s">
        <v>283</v>
      </c>
      <c r="F36" s="29" t="s">
        <v>6</v>
      </c>
      <c r="G36" s="29" t="s">
        <v>12</v>
      </c>
      <c r="H36" s="28" t="s">
        <v>300</v>
      </c>
      <c r="I36" s="28" t="s">
        <v>301</v>
      </c>
      <c r="J36" s="28" t="s">
        <v>285</v>
      </c>
      <c r="K36" s="28" t="s">
        <v>88</v>
      </c>
      <c r="L36" s="28" t="s">
        <v>299</v>
      </c>
      <c r="M36" s="28" t="s">
        <v>302</v>
      </c>
      <c r="N36" s="28" t="s">
        <v>303</v>
      </c>
      <c r="O36" s="28" t="s">
        <v>304</v>
      </c>
      <c r="P36" s="28" t="s">
        <v>305</v>
      </c>
      <c r="Q36" s="28" t="s">
        <v>290</v>
      </c>
      <c r="R36" s="30" t="s">
        <v>291</v>
      </c>
      <c r="S36" s="37" t="s">
        <v>1207</v>
      </c>
    </row>
    <row r="37" spans="1:19" ht="46" customHeight="1">
      <c r="A37" s="27" t="s">
        <v>306</v>
      </c>
      <c r="B37" s="28" t="s">
        <v>307</v>
      </c>
      <c r="C37" s="29" t="s">
        <v>44</v>
      </c>
      <c r="D37" s="29" t="s">
        <v>13</v>
      </c>
      <c r="E37" s="28" t="s">
        <v>308</v>
      </c>
      <c r="F37" s="29" t="s">
        <v>6</v>
      </c>
      <c r="G37" s="29" t="s">
        <v>12</v>
      </c>
      <c r="H37" s="28" t="s">
        <v>259</v>
      </c>
      <c r="I37" s="28"/>
      <c r="J37" s="28"/>
      <c r="K37" s="28"/>
      <c r="L37" s="28" t="s">
        <v>307</v>
      </c>
      <c r="M37" s="28" t="s">
        <v>309</v>
      </c>
      <c r="N37" s="28" t="s">
        <v>310</v>
      </c>
      <c r="O37" s="28" t="s">
        <v>311</v>
      </c>
      <c r="P37" s="28" t="s">
        <v>312</v>
      </c>
      <c r="Q37" s="28" t="s">
        <v>313</v>
      </c>
      <c r="R37" s="30" t="s">
        <v>314</v>
      </c>
      <c r="S37" s="37" t="s">
        <v>1207</v>
      </c>
    </row>
    <row r="38" spans="1:19" ht="46" customHeight="1">
      <c r="A38" s="27" t="s">
        <v>315</v>
      </c>
      <c r="B38" s="28" t="s">
        <v>316</v>
      </c>
      <c r="C38" s="29" t="s">
        <v>44</v>
      </c>
      <c r="D38" s="29" t="s">
        <v>13</v>
      </c>
      <c r="E38" s="28" t="s">
        <v>317</v>
      </c>
      <c r="F38" s="29" t="s">
        <v>5</v>
      </c>
      <c r="G38" s="29" t="s">
        <v>12</v>
      </c>
      <c r="H38" s="28" t="s">
        <v>211</v>
      </c>
      <c r="I38" s="28" t="s">
        <v>318</v>
      </c>
      <c r="J38" s="28"/>
      <c r="K38" s="28"/>
      <c r="L38" s="28" t="s">
        <v>316</v>
      </c>
      <c r="M38" s="28" t="s">
        <v>319</v>
      </c>
      <c r="N38" s="28" t="s">
        <v>320</v>
      </c>
      <c r="O38" s="28" t="s">
        <v>321</v>
      </c>
      <c r="P38" s="28" t="s">
        <v>322</v>
      </c>
      <c r="Q38" s="28" t="s">
        <v>323</v>
      </c>
      <c r="R38" s="30" t="s">
        <v>324</v>
      </c>
      <c r="S38" s="37" t="s">
        <v>1209</v>
      </c>
    </row>
    <row r="39" spans="1:19" ht="46" customHeight="1">
      <c r="A39" s="27" t="s">
        <v>325</v>
      </c>
      <c r="B39" s="28" t="s">
        <v>326</v>
      </c>
      <c r="C39" s="29" t="s">
        <v>44</v>
      </c>
      <c r="D39" s="29" t="s">
        <v>13</v>
      </c>
      <c r="E39" s="28" t="s">
        <v>283</v>
      </c>
      <c r="F39" s="29" t="s">
        <v>6</v>
      </c>
      <c r="G39" s="29" t="s">
        <v>21</v>
      </c>
      <c r="H39" s="28" t="s">
        <v>327</v>
      </c>
      <c r="I39" s="28"/>
      <c r="J39" s="28"/>
      <c r="K39" s="28" t="s">
        <v>88</v>
      </c>
      <c r="L39" s="28" t="s">
        <v>326</v>
      </c>
      <c r="M39" s="28" t="s">
        <v>328</v>
      </c>
      <c r="N39" s="28" t="s">
        <v>329</v>
      </c>
      <c r="O39" s="28" t="s">
        <v>330</v>
      </c>
      <c r="P39" s="28" t="s">
        <v>331</v>
      </c>
      <c r="Q39" s="28" t="s">
        <v>290</v>
      </c>
      <c r="R39" s="30" t="s">
        <v>291</v>
      </c>
      <c r="S39" s="37" t="s">
        <v>1210</v>
      </c>
    </row>
    <row r="40" spans="1:19" ht="46" customHeight="1">
      <c r="A40" s="27" t="s">
        <v>332</v>
      </c>
      <c r="B40" s="28" t="s">
        <v>333</v>
      </c>
      <c r="C40" s="29" t="s">
        <v>44</v>
      </c>
      <c r="D40" s="29" t="s">
        <v>13</v>
      </c>
      <c r="E40" s="28" t="s">
        <v>334</v>
      </c>
      <c r="F40" s="29" t="s">
        <v>6</v>
      </c>
      <c r="G40" s="29" t="s">
        <v>14</v>
      </c>
      <c r="H40" s="28" t="s">
        <v>335</v>
      </c>
      <c r="I40" s="28"/>
      <c r="J40" s="28"/>
      <c r="K40" s="28" t="s">
        <v>336</v>
      </c>
      <c r="L40" s="28" t="s">
        <v>333</v>
      </c>
      <c r="M40" s="28" t="s">
        <v>337</v>
      </c>
      <c r="N40" s="28" t="s">
        <v>338</v>
      </c>
      <c r="O40" s="28" t="s">
        <v>60</v>
      </c>
      <c r="P40" s="28" t="s">
        <v>339</v>
      </c>
      <c r="Q40" s="28" t="s">
        <v>340</v>
      </c>
      <c r="R40" s="30" t="s">
        <v>341</v>
      </c>
      <c r="S40" s="37" t="s">
        <v>1211</v>
      </c>
    </row>
    <row r="41" spans="1:19" ht="46" customHeight="1">
      <c r="A41" s="27" t="s">
        <v>342</v>
      </c>
      <c r="B41" s="28" t="s">
        <v>343</v>
      </c>
      <c r="C41" s="29" t="s">
        <v>44</v>
      </c>
      <c r="D41" s="29" t="s">
        <v>13</v>
      </c>
      <c r="E41" s="28" t="s">
        <v>334</v>
      </c>
      <c r="F41" s="29" t="s">
        <v>5</v>
      </c>
      <c r="G41" s="29" t="s">
        <v>22</v>
      </c>
      <c r="H41" s="28" t="s">
        <v>335</v>
      </c>
      <c r="I41" s="28" t="s">
        <v>140</v>
      </c>
      <c r="J41" s="28"/>
      <c r="K41" s="28" t="s">
        <v>344</v>
      </c>
      <c r="L41" s="28" t="s">
        <v>343</v>
      </c>
      <c r="M41" s="28" t="s">
        <v>345</v>
      </c>
      <c r="N41" s="28" t="s">
        <v>346</v>
      </c>
      <c r="O41" s="28" t="s">
        <v>347</v>
      </c>
      <c r="P41" s="28" t="s">
        <v>348</v>
      </c>
      <c r="Q41" s="28" t="s">
        <v>340</v>
      </c>
      <c r="R41" s="30" t="s">
        <v>341</v>
      </c>
      <c r="S41" s="37" t="s">
        <v>1212</v>
      </c>
    </row>
    <row r="42" spans="1:19" ht="46" customHeight="1">
      <c r="A42" s="27" t="s">
        <v>349</v>
      </c>
      <c r="B42" s="28" t="s">
        <v>350</v>
      </c>
      <c r="C42" s="29" t="s">
        <v>44</v>
      </c>
      <c r="D42" s="29" t="s">
        <v>13</v>
      </c>
      <c r="E42" s="28" t="s">
        <v>334</v>
      </c>
      <c r="F42" s="29" t="s">
        <v>6</v>
      </c>
      <c r="G42" s="29" t="s">
        <v>20</v>
      </c>
      <c r="H42" s="28" t="s">
        <v>335</v>
      </c>
      <c r="I42" s="28" t="s">
        <v>184</v>
      </c>
      <c r="J42" s="28"/>
      <c r="K42" s="28"/>
      <c r="L42" s="28" t="s">
        <v>350</v>
      </c>
      <c r="M42" s="28" t="s">
        <v>351</v>
      </c>
      <c r="N42" s="28" t="s">
        <v>352</v>
      </c>
      <c r="O42" s="28" t="s">
        <v>353</v>
      </c>
      <c r="P42" s="28" t="s">
        <v>354</v>
      </c>
      <c r="Q42" s="28" t="s">
        <v>340</v>
      </c>
      <c r="R42" s="30" t="s">
        <v>341</v>
      </c>
      <c r="S42" s="37" t="s">
        <v>1213</v>
      </c>
    </row>
    <row r="43" spans="1:19" ht="46" customHeight="1">
      <c r="A43" s="27" t="s">
        <v>355</v>
      </c>
      <c r="B43" s="28" t="s">
        <v>356</v>
      </c>
      <c r="C43" s="29" t="s">
        <v>44</v>
      </c>
      <c r="D43" s="29" t="s">
        <v>13</v>
      </c>
      <c r="E43" s="28" t="s">
        <v>334</v>
      </c>
      <c r="F43" s="29" t="s">
        <v>6</v>
      </c>
      <c r="G43" s="29" t="s">
        <v>14</v>
      </c>
      <c r="H43" s="28" t="s">
        <v>335</v>
      </c>
      <c r="I43" s="28"/>
      <c r="J43" s="28"/>
      <c r="K43" s="28"/>
      <c r="L43" s="28" t="s">
        <v>356</v>
      </c>
      <c r="M43" s="28" t="s">
        <v>357</v>
      </c>
      <c r="N43" s="28" t="s">
        <v>358</v>
      </c>
      <c r="O43" s="28" t="s">
        <v>359</v>
      </c>
      <c r="P43" s="28" t="s">
        <v>360</v>
      </c>
      <c r="Q43" s="28" t="s">
        <v>340</v>
      </c>
      <c r="R43" s="30" t="s">
        <v>341</v>
      </c>
      <c r="S43" s="37" t="s">
        <v>1214</v>
      </c>
    </row>
    <row r="44" spans="1:19" ht="46" customHeight="1">
      <c r="A44" s="27" t="s">
        <v>361</v>
      </c>
      <c r="B44" s="28" t="s">
        <v>362</v>
      </c>
      <c r="C44" s="29" t="s">
        <v>44</v>
      </c>
      <c r="D44" s="29" t="s">
        <v>13</v>
      </c>
      <c r="E44" s="28" t="s">
        <v>334</v>
      </c>
      <c r="F44" s="29" t="s">
        <v>5</v>
      </c>
      <c r="G44" s="29" t="s">
        <v>12</v>
      </c>
      <c r="H44" s="28" t="s">
        <v>363</v>
      </c>
      <c r="I44" s="28"/>
      <c r="J44" s="28"/>
      <c r="K44" s="28" t="s">
        <v>88</v>
      </c>
      <c r="L44" s="28" t="s">
        <v>362</v>
      </c>
      <c r="M44" s="28" t="s">
        <v>364</v>
      </c>
      <c r="N44" s="28" t="s">
        <v>365</v>
      </c>
      <c r="O44" s="28" t="s">
        <v>366</v>
      </c>
      <c r="P44" s="28" t="s">
        <v>367</v>
      </c>
      <c r="Q44" s="28" t="s">
        <v>340</v>
      </c>
      <c r="R44" s="30" t="s">
        <v>341</v>
      </c>
      <c r="S44" s="37" t="s">
        <v>1215</v>
      </c>
    </row>
    <row r="45" spans="1:19" ht="46" customHeight="1">
      <c r="A45" s="27" t="s">
        <v>368</v>
      </c>
      <c r="B45" s="28" t="s">
        <v>369</v>
      </c>
      <c r="C45" s="29" t="s">
        <v>44</v>
      </c>
      <c r="D45" s="29" t="s">
        <v>13</v>
      </c>
      <c r="E45" s="28" t="s">
        <v>334</v>
      </c>
      <c r="F45" s="29" t="s">
        <v>5</v>
      </c>
      <c r="G45" s="29" t="s">
        <v>14</v>
      </c>
      <c r="H45" s="28" t="s">
        <v>363</v>
      </c>
      <c r="I45" s="28"/>
      <c r="J45" s="28" t="s">
        <v>156</v>
      </c>
      <c r="K45" s="28" t="s">
        <v>370</v>
      </c>
      <c r="L45" s="28" t="s">
        <v>369</v>
      </c>
      <c r="M45" s="28" t="s">
        <v>371</v>
      </c>
      <c r="N45" s="28" t="s">
        <v>372</v>
      </c>
      <c r="O45" s="28" t="s">
        <v>373</v>
      </c>
      <c r="P45" s="28" t="s">
        <v>374</v>
      </c>
      <c r="Q45" s="28" t="s">
        <v>340</v>
      </c>
      <c r="R45" s="30" t="s">
        <v>341</v>
      </c>
      <c r="S45" s="37" t="s">
        <v>1216</v>
      </c>
    </row>
    <row r="46" spans="1:19" ht="46" customHeight="1">
      <c r="A46" s="27" t="s">
        <v>375</v>
      </c>
      <c r="B46" s="28" t="s">
        <v>376</v>
      </c>
      <c r="C46" s="29" t="s">
        <v>44</v>
      </c>
      <c r="D46" s="29" t="s">
        <v>13</v>
      </c>
      <c r="E46" s="28" t="s">
        <v>334</v>
      </c>
      <c r="F46" s="29" t="s">
        <v>5</v>
      </c>
      <c r="G46" s="29" t="s">
        <v>12</v>
      </c>
      <c r="H46" s="28" t="s">
        <v>363</v>
      </c>
      <c r="I46" s="28"/>
      <c r="J46" s="28" t="s">
        <v>377</v>
      </c>
      <c r="K46" s="28"/>
      <c r="L46" s="28" t="s">
        <v>376</v>
      </c>
      <c r="M46" s="28" t="s">
        <v>378</v>
      </c>
      <c r="N46" s="28" t="s">
        <v>379</v>
      </c>
      <c r="O46" s="28" t="s">
        <v>380</v>
      </c>
      <c r="P46" s="28" t="s">
        <v>381</v>
      </c>
      <c r="Q46" s="28" t="s">
        <v>340</v>
      </c>
      <c r="R46" s="30" t="s">
        <v>341</v>
      </c>
      <c r="S46" s="37" t="s">
        <v>1217</v>
      </c>
    </row>
    <row r="47" spans="1:19" ht="46" customHeight="1">
      <c r="A47" s="27" t="s">
        <v>382</v>
      </c>
      <c r="B47" s="28" t="s">
        <v>383</v>
      </c>
      <c r="C47" s="29" t="s">
        <v>44</v>
      </c>
      <c r="D47" s="29" t="s">
        <v>13</v>
      </c>
      <c r="E47" s="28" t="s">
        <v>334</v>
      </c>
      <c r="F47" s="29" t="s">
        <v>5</v>
      </c>
      <c r="G47" s="29" t="s">
        <v>12</v>
      </c>
      <c r="H47" s="28" t="s">
        <v>335</v>
      </c>
      <c r="I47" s="28" t="s">
        <v>384</v>
      </c>
      <c r="J47" s="28" t="s">
        <v>285</v>
      </c>
      <c r="K47" s="28" t="s">
        <v>193</v>
      </c>
      <c r="L47" s="28" t="s">
        <v>383</v>
      </c>
      <c r="M47" s="28" t="s">
        <v>385</v>
      </c>
      <c r="N47" s="28" t="s">
        <v>386</v>
      </c>
      <c r="O47" s="28" t="s">
        <v>387</v>
      </c>
      <c r="P47" s="28" t="s">
        <v>388</v>
      </c>
      <c r="Q47" s="28" t="s">
        <v>340</v>
      </c>
      <c r="R47" s="30" t="s">
        <v>341</v>
      </c>
      <c r="S47" s="37" t="s">
        <v>1218</v>
      </c>
    </row>
    <row r="48" spans="1:19" ht="46" customHeight="1">
      <c r="A48" s="27" t="s">
        <v>389</v>
      </c>
      <c r="B48" s="28" t="s">
        <v>390</v>
      </c>
      <c r="C48" s="29" t="s">
        <v>44</v>
      </c>
      <c r="D48" s="29" t="s">
        <v>13</v>
      </c>
      <c r="E48" s="28" t="s">
        <v>334</v>
      </c>
      <c r="F48" s="29" t="s">
        <v>5</v>
      </c>
      <c r="G48" s="29" t="s">
        <v>12</v>
      </c>
      <c r="H48" s="28" t="s">
        <v>335</v>
      </c>
      <c r="I48" s="28" t="s">
        <v>391</v>
      </c>
      <c r="J48" s="28"/>
      <c r="K48" s="28" t="s">
        <v>88</v>
      </c>
      <c r="L48" s="28" t="s">
        <v>390</v>
      </c>
      <c r="M48" s="28" t="s">
        <v>392</v>
      </c>
      <c r="N48" s="28" t="s">
        <v>393</v>
      </c>
      <c r="O48" s="28" t="s">
        <v>394</v>
      </c>
      <c r="P48" s="28" t="s">
        <v>395</v>
      </c>
      <c r="Q48" s="28" t="s">
        <v>340</v>
      </c>
      <c r="R48" s="30" t="s">
        <v>341</v>
      </c>
      <c r="S48" s="37" t="s">
        <v>1219</v>
      </c>
    </row>
    <row r="49" spans="1:19" ht="46" customHeight="1">
      <c r="A49" s="27" t="s">
        <v>396</v>
      </c>
      <c r="B49" s="28" t="s">
        <v>397</v>
      </c>
      <c r="C49" s="29" t="s">
        <v>44</v>
      </c>
      <c r="D49" s="29" t="s">
        <v>13</v>
      </c>
      <c r="E49" s="28" t="s">
        <v>334</v>
      </c>
      <c r="F49" s="29" t="s">
        <v>5</v>
      </c>
      <c r="G49" s="29" t="s">
        <v>12</v>
      </c>
      <c r="H49" s="28" t="s">
        <v>335</v>
      </c>
      <c r="I49" s="28" t="s">
        <v>236</v>
      </c>
      <c r="J49" s="28" t="s">
        <v>48</v>
      </c>
      <c r="K49" s="28" t="s">
        <v>246</v>
      </c>
      <c r="L49" s="28" t="s">
        <v>397</v>
      </c>
      <c r="M49" s="28" t="s">
        <v>398</v>
      </c>
      <c r="N49" s="28" t="s">
        <v>399</v>
      </c>
      <c r="O49" s="28" t="s">
        <v>400</v>
      </c>
      <c r="P49" s="28" t="s">
        <v>401</v>
      </c>
      <c r="Q49" s="28" t="s">
        <v>340</v>
      </c>
      <c r="R49" s="30" t="s">
        <v>341</v>
      </c>
      <c r="S49" s="37" t="s">
        <v>1220</v>
      </c>
    </row>
    <row r="50" spans="1:19" ht="46" customHeight="1">
      <c r="A50" s="27" t="s">
        <v>402</v>
      </c>
      <c r="B50" s="28" t="s">
        <v>403</v>
      </c>
      <c r="C50" s="29" t="s">
        <v>44</v>
      </c>
      <c r="D50" s="29" t="s">
        <v>13</v>
      </c>
      <c r="E50" s="28" t="s">
        <v>334</v>
      </c>
      <c r="F50" s="29" t="s">
        <v>6</v>
      </c>
      <c r="G50" s="29" t="s">
        <v>12</v>
      </c>
      <c r="H50" s="28" t="s">
        <v>335</v>
      </c>
      <c r="I50" s="28" t="s">
        <v>284</v>
      </c>
      <c r="J50" s="28" t="s">
        <v>404</v>
      </c>
      <c r="K50" s="28" t="s">
        <v>88</v>
      </c>
      <c r="L50" s="28" t="s">
        <v>403</v>
      </c>
      <c r="M50" s="28" t="s">
        <v>405</v>
      </c>
      <c r="N50" s="28" t="s">
        <v>406</v>
      </c>
      <c r="O50" s="28" t="s">
        <v>407</v>
      </c>
      <c r="P50" s="28" t="s">
        <v>408</v>
      </c>
      <c r="Q50" s="28" t="s">
        <v>340</v>
      </c>
      <c r="R50" s="30" t="s">
        <v>341</v>
      </c>
      <c r="S50" s="37" t="s">
        <v>1220</v>
      </c>
    </row>
    <row r="51" spans="1:19" ht="46" customHeight="1">
      <c r="A51" s="27" t="s">
        <v>409</v>
      </c>
      <c r="B51" s="28" t="s">
        <v>410</v>
      </c>
      <c r="C51" s="29" t="s">
        <v>44</v>
      </c>
      <c r="D51" s="29" t="s">
        <v>13</v>
      </c>
      <c r="E51" s="28" t="s">
        <v>334</v>
      </c>
      <c r="F51" s="29" t="s">
        <v>5</v>
      </c>
      <c r="G51" s="29" t="s">
        <v>12</v>
      </c>
      <c r="H51" s="28" t="s">
        <v>335</v>
      </c>
      <c r="I51" s="28" t="s">
        <v>411</v>
      </c>
      <c r="J51" s="28" t="s">
        <v>412</v>
      </c>
      <c r="K51" s="28"/>
      <c r="L51" s="28" t="s">
        <v>410</v>
      </c>
      <c r="M51" s="28" t="s">
        <v>413</v>
      </c>
      <c r="N51" s="28" t="s">
        <v>414</v>
      </c>
      <c r="O51" s="28" t="s">
        <v>415</v>
      </c>
      <c r="P51" s="28" t="s">
        <v>416</v>
      </c>
      <c r="Q51" s="28" t="s">
        <v>340</v>
      </c>
      <c r="R51" s="30" t="s">
        <v>341</v>
      </c>
      <c r="S51" s="37" t="s">
        <v>1219</v>
      </c>
    </row>
    <row r="52" spans="1:19" ht="46" customHeight="1">
      <c r="A52" s="27" t="s">
        <v>417</v>
      </c>
      <c r="B52" s="28" t="s">
        <v>418</v>
      </c>
      <c r="C52" s="29" t="s">
        <v>44</v>
      </c>
      <c r="D52" s="29" t="s">
        <v>13</v>
      </c>
      <c r="E52" s="28" t="s">
        <v>334</v>
      </c>
      <c r="F52" s="29" t="s">
        <v>6</v>
      </c>
      <c r="G52" s="29" t="s">
        <v>12</v>
      </c>
      <c r="H52" s="28" t="s">
        <v>363</v>
      </c>
      <c r="I52" s="28" t="s">
        <v>419</v>
      </c>
      <c r="J52" s="28" t="s">
        <v>412</v>
      </c>
      <c r="K52" s="28" t="s">
        <v>102</v>
      </c>
      <c r="L52" s="28" t="s">
        <v>418</v>
      </c>
      <c r="M52" s="28" t="s">
        <v>420</v>
      </c>
      <c r="N52" s="28" t="s">
        <v>421</v>
      </c>
      <c r="O52" s="28" t="s">
        <v>422</v>
      </c>
      <c r="P52" s="28" t="s">
        <v>423</v>
      </c>
      <c r="Q52" s="28" t="s">
        <v>340</v>
      </c>
      <c r="R52" s="30" t="s">
        <v>341</v>
      </c>
      <c r="S52" s="37" t="s">
        <v>1221</v>
      </c>
    </row>
    <row r="53" spans="1:19" ht="46" customHeight="1">
      <c r="A53" s="27" t="s">
        <v>424</v>
      </c>
      <c r="B53" s="28" t="s">
        <v>425</v>
      </c>
      <c r="C53" s="29" t="s">
        <v>44</v>
      </c>
      <c r="D53" s="29" t="s">
        <v>13</v>
      </c>
      <c r="E53" s="28" t="s">
        <v>334</v>
      </c>
      <c r="F53" s="29" t="s">
        <v>5</v>
      </c>
      <c r="G53" s="29" t="s">
        <v>12</v>
      </c>
      <c r="H53" s="28" t="s">
        <v>335</v>
      </c>
      <c r="I53" s="28" t="s">
        <v>140</v>
      </c>
      <c r="J53" s="28" t="s">
        <v>221</v>
      </c>
      <c r="K53" s="28"/>
      <c r="L53" s="28" t="s">
        <v>425</v>
      </c>
      <c r="M53" s="28" t="s">
        <v>426</v>
      </c>
      <c r="N53" s="28" t="s">
        <v>427</v>
      </c>
      <c r="O53" s="28" t="s">
        <v>428</v>
      </c>
      <c r="P53" s="28" t="s">
        <v>429</v>
      </c>
      <c r="Q53" s="28" t="s">
        <v>340</v>
      </c>
      <c r="R53" s="30" t="s">
        <v>341</v>
      </c>
      <c r="S53" s="37" t="s">
        <v>1220</v>
      </c>
    </row>
    <row r="54" spans="1:19" ht="46" customHeight="1">
      <c r="A54" s="27" t="s">
        <v>430</v>
      </c>
      <c r="B54" s="28" t="s">
        <v>431</v>
      </c>
      <c r="C54" s="29" t="s">
        <v>44</v>
      </c>
      <c r="D54" s="29" t="s">
        <v>13</v>
      </c>
      <c r="E54" s="28" t="s">
        <v>334</v>
      </c>
      <c r="F54" s="29" t="s">
        <v>5</v>
      </c>
      <c r="G54" s="29" t="s">
        <v>20</v>
      </c>
      <c r="H54" s="28" t="s">
        <v>432</v>
      </c>
      <c r="I54" s="28"/>
      <c r="J54" s="28"/>
      <c r="K54" s="28"/>
      <c r="L54" s="28" t="s">
        <v>431</v>
      </c>
      <c r="M54" s="28" t="s">
        <v>433</v>
      </c>
      <c r="N54" s="28" t="s">
        <v>434</v>
      </c>
      <c r="O54" s="28" t="s">
        <v>435</v>
      </c>
      <c r="P54" s="28" t="s">
        <v>436</v>
      </c>
      <c r="Q54" s="28" t="s">
        <v>340</v>
      </c>
      <c r="R54" s="30" t="s">
        <v>341</v>
      </c>
      <c r="S54" s="37" t="s">
        <v>1222</v>
      </c>
    </row>
    <row r="55" spans="1:19" ht="46" customHeight="1">
      <c r="A55" s="27" t="s">
        <v>437</v>
      </c>
      <c r="B55" s="28" t="s">
        <v>438</v>
      </c>
      <c r="C55" s="29" t="s">
        <v>44</v>
      </c>
      <c r="D55" s="29" t="s">
        <v>13</v>
      </c>
      <c r="E55" s="28" t="s">
        <v>334</v>
      </c>
      <c r="F55" s="29" t="s">
        <v>6</v>
      </c>
      <c r="G55" s="29" t="s">
        <v>14</v>
      </c>
      <c r="H55" s="28" t="s">
        <v>363</v>
      </c>
      <c r="I55" s="28"/>
      <c r="J55" s="28"/>
      <c r="K55" s="28"/>
      <c r="L55" s="28" t="s">
        <v>438</v>
      </c>
      <c r="M55" s="28" t="s">
        <v>439</v>
      </c>
      <c r="N55" s="28" t="s">
        <v>440</v>
      </c>
      <c r="O55" s="28" t="s">
        <v>441</v>
      </c>
      <c r="P55" s="28" t="s">
        <v>442</v>
      </c>
      <c r="Q55" s="28" t="s">
        <v>340</v>
      </c>
      <c r="R55" s="30" t="s">
        <v>341</v>
      </c>
      <c r="S55" s="37" t="s">
        <v>1223</v>
      </c>
    </row>
    <row r="56" spans="1:19" ht="46" customHeight="1">
      <c r="A56" s="27" t="s">
        <v>443</v>
      </c>
      <c r="B56" s="28" t="s">
        <v>444</v>
      </c>
      <c r="C56" s="29" t="s">
        <v>44</v>
      </c>
      <c r="D56" s="29" t="s">
        <v>13</v>
      </c>
      <c r="E56" s="28" t="s">
        <v>445</v>
      </c>
      <c r="F56" s="29" t="s">
        <v>5</v>
      </c>
      <c r="G56" s="29" t="s">
        <v>14</v>
      </c>
      <c r="H56" s="28" t="s">
        <v>446</v>
      </c>
      <c r="I56" s="28"/>
      <c r="J56" s="28"/>
      <c r="K56" s="28"/>
      <c r="L56" s="28" t="s">
        <v>444</v>
      </c>
      <c r="M56" s="28" t="s">
        <v>447</v>
      </c>
      <c r="N56" s="28" t="s">
        <v>448</v>
      </c>
      <c r="O56" s="28" t="s">
        <v>60</v>
      </c>
      <c r="P56" s="28" t="s">
        <v>449</v>
      </c>
      <c r="Q56" s="28" t="s">
        <v>450</v>
      </c>
      <c r="R56" s="30" t="s">
        <v>451</v>
      </c>
      <c r="S56" s="37" t="s">
        <v>1224</v>
      </c>
    </row>
    <row r="57" spans="1:19" ht="46" customHeight="1">
      <c r="A57" s="27" t="s">
        <v>452</v>
      </c>
      <c r="B57" s="28" t="s">
        <v>453</v>
      </c>
      <c r="C57" s="29" t="s">
        <v>44</v>
      </c>
      <c r="D57" s="29" t="s">
        <v>13</v>
      </c>
      <c r="E57" s="28" t="s">
        <v>445</v>
      </c>
      <c r="F57" s="29" t="s">
        <v>5</v>
      </c>
      <c r="G57" s="29" t="s">
        <v>12</v>
      </c>
      <c r="H57" s="28" t="s">
        <v>446</v>
      </c>
      <c r="I57" s="28" t="s">
        <v>140</v>
      </c>
      <c r="J57" s="28" t="s">
        <v>454</v>
      </c>
      <c r="K57" s="28"/>
      <c r="L57" s="28" t="s">
        <v>453</v>
      </c>
      <c r="M57" s="28" t="s">
        <v>455</v>
      </c>
      <c r="N57" s="28" t="s">
        <v>456</v>
      </c>
      <c r="O57" s="28" t="s">
        <v>457</v>
      </c>
      <c r="P57" s="28" t="s">
        <v>458</v>
      </c>
      <c r="Q57" s="28" t="s">
        <v>450</v>
      </c>
      <c r="R57" s="30" t="s">
        <v>451</v>
      </c>
      <c r="S57" s="37" t="s">
        <v>1224</v>
      </c>
    </row>
    <row r="58" spans="1:19" ht="46" customHeight="1">
      <c r="A58" s="27" t="s">
        <v>459</v>
      </c>
      <c r="B58" s="28" t="s">
        <v>460</v>
      </c>
      <c r="C58" s="29" t="s">
        <v>44</v>
      </c>
      <c r="D58" s="29" t="s">
        <v>13</v>
      </c>
      <c r="E58" s="28" t="s">
        <v>445</v>
      </c>
      <c r="F58" s="29" t="s">
        <v>5</v>
      </c>
      <c r="G58" s="29" t="s">
        <v>12</v>
      </c>
      <c r="H58" s="28" t="s">
        <v>461</v>
      </c>
      <c r="I58" s="28" t="s">
        <v>140</v>
      </c>
      <c r="J58" s="28" t="s">
        <v>454</v>
      </c>
      <c r="K58" s="28"/>
      <c r="L58" s="28" t="s">
        <v>460</v>
      </c>
      <c r="M58" s="28" t="s">
        <v>462</v>
      </c>
      <c r="N58" s="28" t="s">
        <v>463</v>
      </c>
      <c r="O58" s="28" t="s">
        <v>464</v>
      </c>
      <c r="P58" s="28" t="s">
        <v>465</v>
      </c>
      <c r="Q58" s="28" t="s">
        <v>450</v>
      </c>
      <c r="R58" s="30" t="s">
        <v>451</v>
      </c>
      <c r="S58" s="37" t="s">
        <v>1224</v>
      </c>
    </row>
    <row r="59" spans="1:19" ht="46" customHeight="1">
      <c r="A59" s="27" t="s">
        <v>466</v>
      </c>
      <c r="B59" s="28" t="s">
        <v>467</v>
      </c>
      <c r="C59" s="29" t="s">
        <v>44</v>
      </c>
      <c r="D59" s="29" t="s">
        <v>13</v>
      </c>
      <c r="E59" s="28" t="s">
        <v>445</v>
      </c>
      <c r="F59" s="29" t="s">
        <v>6</v>
      </c>
      <c r="G59" s="29" t="s">
        <v>23</v>
      </c>
      <c r="H59" s="28" t="s">
        <v>446</v>
      </c>
      <c r="I59" s="28"/>
      <c r="J59" s="28" t="s">
        <v>454</v>
      </c>
      <c r="K59" s="28"/>
      <c r="L59" s="28" t="s">
        <v>467</v>
      </c>
      <c r="M59" s="28" t="s">
        <v>468</v>
      </c>
      <c r="N59" s="28" t="s">
        <v>469</v>
      </c>
      <c r="O59" s="28" t="s">
        <v>60</v>
      </c>
      <c r="P59" s="28" t="s">
        <v>470</v>
      </c>
      <c r="Q59" s="28" t="s">
        <v>450</v>
      </c>
      <c r="R59" s="30" t="s">
        <v>451</v>
      </c>
      <c r="S59" s="37" t="s">
        <v>1224</v>
      </c>
    </row>
    <row r="60" spans="1:19" ht="46" customHeight="1">
      <c r="A60" s="27" t="s">
        <v>471</v>
      </c>
      <c r="B60" s="28" t="s">
        <v>472</v>
      </c>
      <c r="C60" s="29" t="s">
        <v>44</v>
      </c>
      <c r="D60" s="29" t="s">
        <v>13</v>
      </c>
      <c r="E60" s="28" t="s">
        <v>445</v>
      </c>
      <c r="F60" s="29" t="s">
        <v>6</v>
      </c>
      <c r="G60" s="29" t="s">
        <v>12</v>
      </c>
      <c r="H60" s="28" t="s">
        <v>473</v>
      </c>
      <c r="I60" s="28"/>
      <c r="J60" s="28" t="s">
        <v>454</v>
      </c>
      <c r="K60" s="28"/>
      <c r="L60" s="28" t="s">
        <v>472</v>
      </c>
      <c r="M60" s="28" t="s">
        <v>474</v>
      </c>
      <c r="N60" s="28" t="s">
        <v>475</v>
      </c>
      <c r="O60" s="28" t="s">
        <v>476</v>
      </c>
      <c r="P60" s="28" t="s">
        <v>477</v>
      </c>
      <c r="Q60" s="28" t="s">
        <v>450</v>
      </c>
      <c r="R60" s="30" t="s">
        <v>451</v>
      </c>
      <c r="S60" s="37" t="s">
        <v>1224</v>
      </c>
    </row>
    <row r="61" spans="1:19" ht="46" customHeight="1">
      <c r="A61" s="27" t="s">
        <v>478</v>
      </c>
      <c r="B61" s="28" t="s">
        <v>479</v>
      </c>
      <c r="C61" s="29" t="s">
        <v>44</v>
      </c>
      <c r="D61" s="29" t="s">
        <v>13</v>
      </c>
      <c r="E61" s="28" t="s">
        <v>445</v>
      </c>
      <c r="F61" s="29" t="s">
        <v>5</v>
      </c>
      <c r="G61" s="29" t="s">
        <v>12</v>
      </c>
      <c r="H61" s="28" t="s">
        <v>480</v>
      </c>
      <c r="I61" s="28" t="s">
        <v>260</v>
      </c>
      <c r="J61" s="28" t="s">
        <v>454</v>
      </c>
      <c r="K61" s="28" t="s">
        <v>261</v>
      </c>
      <c r="L61" s="28" t="s">
        <v>479</v>
      </c>
      <c r="M61" s="28" t="s">
        <v>481</v>
      </c>
      <c r="N61" s="28" t="s">
        <v>482</v>
      </c>
      <c r="O61" s="28" t="s">
        <v>483</v>
      </c>
      <c r="P61" s="28" t="s">
        <v>484</v>
      </c>
      <c r="Q61" s="28" t="s">
        <v>450</v>
      </c>
      <c r="R61" s="30" t="s">
        <v>451</v>
      </c>
      <c r="S61" s="37" t="s">
        <v>1224</v>
      </c>
    </row>
    <row r="62" spans="1:19" ht="46" customHeight="1">
      <c r="A62" s="27" t="s">
        <v>485</v>
      </c>
      <c r="B62" s="28" t="s">
        <v>486</v>
      </c>
      <c r="C62" s="29" t="s">
        <v>44</v>
      </c>
      <c r="D62" s="29" t="s">
        <v>13</v>
      </c>
      <c r="E62" s="28" t="s">
        <v>487</v>
      </c>
      <c r="F62" s="29" t="s">
        <v>5</v>
      </c>
      <c r="G62" s="29" t="s">
        <v>12</v>
      </c>
      <c r="H62" s="28" t="s">
        <v>488</v>
      </c>
      <c r="I62" s="28"/>
      <c r="J62" s="28"/>
      <c r="K62" s="28" t="s">
        <v>88</v>
      </c>
      <c r="L62" s="28" t="s">
        <v>486</v>
      </c>
      <c r="M62" s="28" t="s">
        <v>489</v>
      </c>
      <c r="N62" s="28" t="s">
        <v>490</v>
      </c>
      <c r="O62" s="28" t="s">
        <v>491</v>
      </c>
      <c r="P62" s="28" t="s">
        <v>492</v>
      </c>
      <c r="Q62" s="28" t="s">
        <v>493</v>
      </c>
      <c r="R62" s="30" t="s">
        <v>494</v>
      </c>
      <c r="S62" s="37" t="s">
        <v>1225</v>
      </c>
    </row>
    <row r="63" spans="1:19" ht="46" customHeight="1">
      <c r="A63" s="27" t="s">
        <v>495</v>
      </c>
      <c r="B63" s="28" t="s">
        <v>496</v>
      </c>
      <c r="C63" s="29" t="s">
        <v>44</v>
      </c>
      <c r="D63" s="29" t="s">
        <v>13</v>
      </c>
      <c r="E63" s="28" t="s">
        <v>487</v>
      </c>
      <c r="F63" s="29" t="s">
        <v>6</v>
      </c>
      <c r="G63" s="29" t="s">
        <v>12</v>
      </c>
      <c r="H63" s="28" t="s">
        <v>488</v>
      </c>
      <c r="I63" s="28"/>
      <c r="J63" s="28"/>
      <c r="K63" s="28" t="s">
        <v>88</v>
      </c>
      <c r="L63" s="28" t="s">
        <v>496</v>
      </c>
      <c r="M63" s="28" t="s">
        <v>497</v>
      </c>
      <c r="N63" s="28" t="s">
        <v>498</v>
      </c>
      <c r="O63" s="28" t="s">
        <v>499</v>
      </c>
      <c r="P63" s="28" t="s">
        <v>500</v>
      </c>
      <c r="Q63" s="28" t="s">
        <v>493</v>
      </c>
      <c r="R63" s="30" t="s">
        <v>494</v>
      </c>
      <c r="S63" s="37" t="s">
        <v>1226</v>
      </c>
    </row>
    <row r="64" spans="1:19" ht="46" customHeight="1">
      <c r="A64" s="27" t="s">
        <v>501</v>
      </c>
      <c r="B64" s="28" t="s">
        <v>502</v>
      </c>
      <c r="C64" s="29" t="s">
        <v>44</v>
      </c>
      <c r="D64" s="29" t="s">
        <v>13</v>
      </c>
      <c r="E64" s="28" t="s">
        <v>445</v>
      </c>
      <c r="F64" s="29" t="s">
        <v>6</v>
      </c>
      <c r="G64" s="29" t="s">
        <v>12</v>
      </c>
      <c r="H64" s="28" t="s">
        <v>446</v>
      </c>
      <c r="I64" s="28" t="s">
        <v>275</v>
      </c>
      <c r="J64" s="28" t="s">
        <v>454</v>
      </c>
      <c r="K64" s="28" t="s">
        <v>193</v>
      </c>
      <c r="L64" s="28" t="s">
        <v>502</v>
      </c>
      <c r="M64" s="28" t="s">
        <v>503</v>
      </c>
      <c r="N64" s="28" t="s">
        <v>504</v>
      </c>
      <c r="O64" s="28" t="s">
        <v>505</v>
      </c>
      <c r="P64" s="28" t="s">
        <v>506</v>
      </c>
      <c r="Q64" s="28" t="s">
        <v>450</v>
      </c>
      <c r="R64" s="30" t="s">
        <v>451</v>
      </c>
      <c r="S64" s="37" t="s">
        <v>1224</v>
      </c>
    </row>
    <row r="65" spans="1:19" ht="46" customHeight="1">
      <c r="A65" s="27" t="s">
        <v>507</v>
      </c>
      <c r="B65" s="28" t="s">
        <v>508</v>
      </c>
      <c r="C65" s="29" t="s">
        <v>44</v>
      </c>
      <c r="D65" s="29" t="s">
        <v>13</v>
      </c>
      <c r="E65" s="28" t="s">
        <v>487</v>
      </c>
      <c r="F65" s="29" t="s">
        <v>6</v>
      </c>
      <c r="G65" s="29" t="s">
        <v>14</v>
      </c>
      <c r="H65" s="28" t="s">
        <v>488</v>
      </c>
      <c r="I65" s="28"/>
      <c r="J65" s="28" t="s">
        <v>412</v>
      </c>
      <c r="K65" s="28" t="s">
        <v>336</v>
      </c>
      <c r="L65" s="28" t="s">
        <v>508</v>
      </c>
      <c r="M65" s="28" t="s">
        <v>509</v>
      </c>
      <c r="N65" s="28" t="s">
        <v>510</v>
      </c>
      <c r="O65" s="28" t="s">
        <v>60</v>
      </c>
      <c r="P65" s="28" t="s">
        <v>511</v>
      </c>
      <c r="Q65" s="28" t="s">
        <v>493</v>
      </c>
      <c r="R65" s="30" t="s">
        <v>494</v>
      </c>
      <c r="S65" s="37" t="s">
        <v>1227</v>
      </c>
    </row>
    <row r="66" spans="1:19" ht="46" customHeight="1">
      <c r="A66" s="27" t="s">
        <v>512</v>
      </c>
      <c r="B66" s="28" t="s">
        <v>513</v>
      </c>
      <c r="C66" s="29" t="s">
        <v>44</v>
      </c>
      <c r="D66" s="29" t="s">
        <v>13</v>
      </c>
      <c r="E66" s="28" t="s">
        <v>514</v>
      </c>
      <c r="F66" s="29" t="s">
        <v>5</v>
      </c>
      <c r="G66" s="29" t="s">
        <v>12</v>
      </c>
      <c r="H66" s="28" t="s">
        <v>211</v>
      </c>
      <c r="I66" s="28" t="s">
        <v>411</v>
      </c>
      <c r="J66" s="28" t="s">
        <v>412</v>
      </c>
      <c r="K66" s="28" t="s">
        <v>88</v>
      </c>
      <c r="L66" s="28" t="s">
        <v>513</v>
      </c>
      <c r="M66" s="28" t="s">
        <v>515</v>
      </c>
      <c r="N66" s="28" t="s">
        <v>516</v>
      </c>
      <c r="O66" s="28" t="s">
        <v>517</v>
      </c>
      <c r="P66" s="28" t="s">
        <v>518</v>
      </c>
      <c r="Q66" s="28" t="s">
        <v>519</v>
      </c>
      <c r="R66" s="30" t="s">
        <v>520</v>
      </c>
      <c r="S66" s="37" t="s">
        <v>1228</v>
      </c>
    </row>
    <row r="67" spans="1:19" ht="46" customHeight="1">
      <c r="A67" s="27" t="s">
        <v>521</v>
      </c>
      <c r="B67" s="28" t="s">
        <v>522</v>
      </c>
      <c r="C67" s="29" t="s">
        <v>44</v>
      </c>
      <c r="D67" s="29" t="s">
        <v>13</v>
      </c>
      <c r="E67" s="28" t="s">
        <v>514</v>
      </c>
      <c r="F67" s="29" t="s">
        <v>6</v>
      </c>
      <c r="G67" s="29" t="s">
        <v>12</v>
      </c>
      <c r="H67" s="28" t="s">
        <v>211</v>
      </c>
      <c r="I67" s="28"/>
      <c r="J67" s="28"/>
      <c r="K67" s="28" t="s">
        <v>88</v>
      </c>
      <c r="L67" s="28" t="s">
        <v>522</v>
      </c>
      <c r="M67" s="28" t="s">
        <v>523</v>
      </c>
      <c r="N67" s="28" t="s">
        <v>524</v>
      </c>
      <c r="O67" s="28" t="s">
        <v>525</v>
      </c>
      <c r="P67" s="28" t="s">
        <v>526</v>
      </c>
      <c r="Q67" s="28" t="s">
        <v>519</v>
      </c>
      <c r="R67" s="30" t="s">
        <v>520</v>
      </c>
      <c r="S67" s="37" t="s">
        <v>1229</v>
      </c>
    </row>
    <row r="68" spans="1:19" ht="46" customHeight="1">
      <c r="A68" s="27" t="s">
        <v>527</v>
      </c>
      <c r="B68" s="28" t="s">
        <v>528</v>
      </c>
      <c r="C68" s="29" t="s">
        <v>44</v>
      </c>
      <c r="D68" s="29" t="s">
        <v>13</v>
      </c>
      <c r="E68" s="28" t="s">
        <v>529</v>
      </c>
      <c r="F68" s="29" t="s">
        <v>5</v>
      </c>
      <c r="G68" s="29" t="s">
        <v>12</v>
      </c>
      <c r="H68" s="28" t="s">
        <v>530</v>
      </c>
      <c r="I68" s="28" t="s">
        <v>184</v>
      </c>
      <c r="J68" s="28" t="s">
        <v>412</v>
      </c>
      <c r="K68" s="28" t="s">
        <v>531</v>
      </c>
      <c r="L68" s="28" t="s">
        <v>528</v>
      </c>
      <c r="M68" s="28" t="s">
        <v>532</v>
      </c>
      <c r="N68" s="28" t="s">
        <v>533</v>
      </c>
      <c r="O68" s="28" t="s">
        <v>534</v>
      </c>
      <c r="P68" s="28" t="s">
        <v>535</v>
      </c>
      <c r="Q68" s="28" t="s">
        <v>536</v>
      </c>
      <c r="R68" s="30" t="s">
        <v>537</v>
      </c>
      <c r="S68" s="37" t="s">
        <v>1230</v>
      </c>
    </row>
    <row r="69" spans="1:19" ht="46" customHeight="1">
      <c r="A69" s="27" t="s">
        <v>538</v>
      </c>
      <c r="B69" s="28" t="s">
        <v>539</v>
      </c>
      <c r="C69" s="29" t="s">
        <v>44</v>
      </c>
      <c r="D69" s="29" t="s">
        <v>13</v>
      </c>
      <c r="E69" s="28" t="s">
        <v>540</v>
      </c>
      <c r="F69" s="29" t="s">
        <v>6</v>
      </c>
      <c r="G69" s="29" t="s">
        <v>14</v>
      </c>
      <c r="H69" s="28" t="s">
        <v>541</v>
      </c>
      <c r="I69" s="28"/>
      <c r="J69" s="28"/>
      <c r="K69" s="28" t="s">
        <v>336</v>
      </c>
      <c r="L69" s="28" t="s">
        <v>539</v>
      </c>
      <c r="M69" s="28" t="s">
        <v>542</v>
      </c>
      <c r="N69" s="28" t="s">
        <v>510</v>
      </c>
      <c r="O69" s="28" t="s">
        <v>60</v>
      </c>
      <c r="P69" s="28" t="s">
        <v>543</v>
      </c>
      <c r="Q69" s="28" t="s">
        <v>544</v>
      </c>
      <c r="R69" s="30" t="s">
        <v>545</v>
      </c>
      <c r="S69" s="37" t="s">
        <v>1231</v>
      </c>
    </row>
    <row r="70" spans="1:19" ht="46" customHeight="1">
      <c r="A70" s="27" t="s">
        <v>546</v>
      </c>
      <c r="B70" s="28" t="s">
        <v>547</v>
      </c>
      <c r="C70" s="29" t="s">
        <v>44</v>
      </c>
      <c r="D70" s="29" t="s">
        <v>13</v>
      </c>
      <c r="E70" s="28" t="s">
        <v>514</v>
      </c>
      <c r="F70" s="29" t="s">
        <v>6</v>
      </c>
      <c r="G70" s="29" t="s">
        <v>12</v>
      </c>
      <c r="H70" s="28" t="s">
        <v>46</v>
      </c>
      <c r="I70" s="28"/>
      <c r="J70" s="28"/>
      <c r="K70" s="28" t="s">
        <v>88</v>
      </c>
      <c r="L70" s="28" t="s">
        <v>547</v>
      </c>
      <c r="M70" s="28" t="s">
        <v>548</v>
      </c>
      <c r="N70" s="28" t="s">
        <v>549</v>
      </c>
      <c r="O70" s="28" t="s">
        <v>550</v>
      </c>
      <c r="P70" s="28" t="s">
        <v>551</v>
      </c>
      <c r="Q70" s="28" t="s">
        <v>519</v>
      </c>
      <c r="R70" s="30" t="s">
        <v>520</v>
      </c>
      <c r="S70" s="37" t="s">
        <v>1232</v>
      </c>
    </row>
    <row r="71" spans="1:19" ht="46" customHeight="1">
      <c r="A71" s="27" t="s">
        <v>552</v>
      </c>
      <c r="B71" s="28" t="s">
        <v>553</v>
      </c>
      <c r="C71" s="29" t="s">
        <v>44</v>
      </c>
      <c r="D71" s="29" t="s">
        <v>13</v>
      </c>
      <c r="E71" s="28" t="s">
        <v>514</v>
      </c>
      <c r="F71" s="29" t="s">
        <v>5</v>
      </c>
      <c r="G71" s="29" t="s">
        <v>12</v>
      </c>
      <c r="H71" s="28" t="s">
        <v>176</v>
      </c>
      <c r="I71" s="28" t="s">
        <v>260</v>
      </c>
      <c r="J71" s="28"/>
      <c r="K71" s="28"/>
      <c r="L71" s="28" t="s">
        <v>553</v>
      </c>
      <c r="M71" s="28" t="s">
        <v>554</v>
      </c>
      <c r="N71" s="28" t="s">
        <v>555</v>
      </c>
      <c r="O71" s="28" t="s">
        <v>556</v>
      </c>
      <c r="P71" s="28" t="s">
        <v>557</v>
      </c>
      <c r="Q71" s="28" t="s">
        <v>519</v>
      </c>
      <c r="R71" s="30" t="s">
        <v>520</v>
      </c>
      <c r="S71" s="37" t="s">
        <v>1228</v>
      </c>
    </row>
    <row r="72" spans="1:19" ht="46" customHeight="1">
      <c r="A72" s="27" t="s">
        <v>558</v>
      </c>
      <c r="B72" s="28" t="s">
        <v>559</v>
      </c>
      <c r="C72" s="29" t="s">
        <v>44</v>
      </c>
      <c r="D72" s="29" t="s">
        <v>13</v>
      </c>
      <c r="E72" s="28" t="s">
        <v>560</v>
      </c>
      <c r="F72" s="29" t="s">
        <v>5</v>
      </c>
      <c r="G72" s="29" t="s">
        <v>12</v>
      </c>
      <c r="H72" s="28" t="s">
        <v>46</v>
      </c>
      <c r="I72" s="28" t="s">
        <v>47</v>
      </c>
      <c r="J72" s="28" t="s">
        <v>412</v>
      </c>
      <c r="K72" s="28" t="s">
        <v>88</v>
      </c>
      <c r="L72" s="28" t="s">
        <v>559</v>
      </c>
      <c r="M72" s="28" t="s">
        <v>561</v>
      </c>
      <c r="N72" s="28" t="s">
        <v>562</v>
      </c>
      <c r="O72" s="28" t="s">
        <v>563</v>
      </c>
      <c r="P72" s="28" t="s">
        <v>564</v>
      </c>
      <c r="Q72" s="28" t="s">
        <v>565</v>
      </c>
      <c r="R72" s="30" t="s">
        <v>566</v>
      </c>
      <c r="S72" s="37" t="s">
        <v>1233</v>
      </c>
    </row>
    <row r="73" spans="1:19" ht="46" customHeight="1">
      <c r="A73" s="27" t="s">
        <v>567</v>
      </c>
      <c r="B73" s="28" t="s">
        <v>568</v>
      </c>
      <c r="C73" s="29" t="s">
        <v>44</v>
      </c>
      <c r="D73" s="29" t="s">
        <v>13</v>
      </c>
      <c r="E73" s="28" t="s">
        <v>560</v>
      </c>
      <c r="F73" s="29" t="s">
        <v>5</v>
      </c>
      <c r="G73" s="29" t="s">
        <v>12</v>
      </c>
      <c r="H73" s="28" t="s">
        <v>46</v>
      </c>
      <c r="I73" s="28" t="s">
        <v>47</v>
      </c>
      <c r="J73" s="28" t="s">
        <v>404</v>
      </c>
      <c r="K73" s="28" t="s">
        <v>193</v>
      </c>
      <c r="L73" s="28" t="s">
        <v>568</v>
      </c>
      <c r="M73" s="28" t="s">
        <v>569</v>
      </c>
      <c r="N73" s="28" t="s">
        <v>570</v>
      </c>
      <c r="O73" s="28" t="s">
        <v>563</v>
      </c>
      <c r="P73" s="28" t="s">
        <v>571</v>
      </c>
      <c r="Q73" s="28" t="s">
        <v>565</v>
      </c>
      <c r="R73" s="30" t="s">
        <v>566</v>
      </c>
      <c r="S73" s="37" t="s">
        <v>1234</v>
      </c>
    </row>
    <row r="74" spans="1:19" ht="46" customHeight="1">
      <c r="A74" s="27" t="s">
        <v>572</v>
      </c>
      <c r="B74" s="28" t="s">
        <v>573</v>
      </c>
      <c r="C74" s="29" t="s">
        <v>44</v>
      </c>
      <c r="D74" s="29" t="s">
        <v>13</v>
      </c>
      <c r="E74" s="28" t="s">
        <v>560</v>
      </c>
      <c r="F74" s="29" t="s">
        <v>5</v>
      </c>
      <c r="G74" s="29" t="s">
        <v>12</v>
      </c>
      <c r="H74" s="28" t="s">
        <v>46</v>
      </c>
      <c r="I74" s="28" t="s">
        <v>47</v>
      </c>
      <c r="J74" s="28" t="s">
        <v>48</v>
      </c>
      <c r="K74" s="28" t="s">
        <v>88</v>
      </c>
      <c r="L74" s="28" t="s">
        <v>573</v>
      </c>
      <c r="M74" s="28" t="s">
        <v>574</v>
      </c>
      <c r="N74" s="28" t="s">
        <v>575</v>
      </c>
      <c r="O74" s="28" t="s">
        <v>563</v>
      </c>
      <c r="P74" s="28" t="s">
        <v>576</v>
      </c>
      <c r="Q74" s="28" t="s">
        <v>565</v>
      </c>
      <c r="R74" s="30" t="s">
        <v>566</v>
      </c>
      <c r="S74" s="37" t="s">
        <v>1235</v>
      </c>
    </row>
    <row r="75" spans="1:19" ht="46" customHeight="1">
      <c r="A75" s="27" t="s">
        <v>577</v>
      </c>
      <c r="B75" s="28" t="s">
        <v>578</v>
      </c>
      <c r="C75" s="29" t="s">
        <v>44</v>
      </c>
      <c r="D75" s="29" t="s">
        <v>13</v>
      </c>
      <c r="E75" s="28" t="s">
        <v>560</v>
      </c>
      <c r="F75" s="29" t="s">
        <v>5</v>
      </c>
      <c r="G75" s="29" t="s">
        <v>12</v>
      </c>
      <c r="H75" s="28" t="s">
        <v>46</v>
      </c>
      <c r="I75" s="28" t="s">
        <v>47</v>
      </c>
      <c r="J75" s="28" t="s">
        <v>221</v>
      </c>
      <c r="K75" s="28"/>
      <c r="L75" s="28" t="s">
        <v>578</v>
      </c>
      <c r="M75" s="28" t="s">
        <v>579</v>
      </c>
      <c r="N75" s="28" t="s">
        <v>580</v>
      </c>
      <c r="O75" s="28" t="s">
        <v>563</v>
      </c>
      <c r="P75" s="28" t="s">
        <v>581</v>
      </c>
      <c r="Q75" s="28" t="s">
        <v>565</v>
      </c>
      <c r="R75" s="30" t="s">
        <v>566</v>
      </c>
      <c r="S75" s="37" t="s">
        <v>1235</v>
      </c>
    </row>
    <row r="76" spans="1:19" ht="46" customHeight="1">
      <c r="A76" s="27" t="s">
        <v>582</v>
      </c>
      <c r="B76" s="28" t="s">
        <v>583</v>
      </c>
      <c r="C76" s="29" t="s">
        <v>44</v>
      </c>
      <c r="D76" s="29" t="s">
        <v>13</v>
      </c>
      <c r="E76" s="28" t="s">
        <v>560</v>
      </c>
      <c r="F76" s="29" t="s">
        <v>6</v>
      </c>
      <c r="G76" s="29" t="s">
        <v>12</v>
      </c>
      <c r="H76" s="28" t="s">
        <v>46</v>
      </c>
      <c r="I76" s="28" t="s">
        <v>47</v>
      </c>
      <c r="J76" s="28"/>
      <c r="K76" s="28" t="s">
        <v>102</v>
      </c>
      <c r="L76" s="28" t="s">
        <v>583</v>
      </c>
      <c r="M76" s="28" t="s">
        <v>584</v>
      </c>
      <c r="N76" s="28" t="s">
        <v>585</v>
      </c>
      <c r="O76" s="28" t="s">
        <v>586</v>
      </c>
      <c r="P76" s="28" t="s">
        <v>587</v>
      </c>
      <c r="Q76" s="28" t="s">
        <v>565</v>
      </c>
      <c r="R76" s="30" t="s">
        <v>566</v>
      </c>
      <c r="S76" s="37" t="s">
        <v>1236</v>
      </c>
    </row>
    <row r="77" spans="1:19" ht="46" customHeight="1">
      <c r="A77" s="27" t="s">
        <v>588</v>
      </c>
      <c r="B77" s="28" t="s">
        <v>589</v>
      </c>
      <c r="C77" s="29" t="s">
        <v>44</v>
      </c>
      <c r="D77" s="29" t="s">
        <v>13</v>
      </c>
      <c r="E77" s="28" t="s">
        <v>590</v>
      </c>
      <c r="F77" s="29" t="s">
        <v>5</v>
      </c>
      <c r="G77" s="29" t="s">
        <v>12</v>
      </c>
      <c r="H77" s="28" t="s">
        <v>139</v>
      </c>
      <c r="I77" s="28" t="s">
        <v>95</v>
      </c>
      <c r="J77" s="28"/>
      <c r="K77" s="28"/>
      <c r="L77" s="28" t="s">
        <v>589</v>
      </c>
      <c r="M77" s="28" t="s">
        <v>591</v>
      </c>
      <c r="N77" s="28" t="s">
        <v>592</v>
      </c>
      <c r="O77" s="28" t="s">
        <v>593</v>
      </c>
      <c r="P77" s="28" t="s">
        <v>594</v>
      </c>
      <c r="Q77" s="28" t="s">
        <v>595</v>
      </c>
      <c r="R77" s="30" t="s">
        <v>596</v>
      </c>
      <c r="S77" s="37" t="s">
        <v>1237</v>
      </c>
    </row>
    <row r="78" spans="1:19" ht="46" customHeight="1">
      <c r="A78" s="27" t="s">
        <v>597</v>
      </c>
      <c r="B78" s="28" t="s">
        <v>598</v>
      </c>
      <c r="C78" s="29" t="s">
        <v>44</v>
      </c>
      <c r="D78" s="29" t="s">
        <v>13</v>
      </c>
      <c r="E78" s="28" t="s">
        <v>590</v>
      </c>
      <c r="F78" s="29" t="s">
        <v>6</v>
      </c>
      <c r="G78" s="29" t="s">
        <v>12</v>
      </c>
      <c r="H78" s="28" t="s">
        <v>139</v>
      </c>
      <c r="I78" s="28"/>
      <c r="J78" s="28"/>
      <c r="K78" s="28"/>
      <c r="L78" s="28" t="s">
        <v>598</v>
      </c>
      <c r="M78" s="28" t="s">
        <v>599</v>
      </c>
      <c r="N78" s="28" t="s">
        <v>600</v>
      </c>
      <c r="O78" s="28" t="s">
        <v>601</v>
      </c>
      <c r="P78" s="28" t="s">
        <v>602</v>
      </c>
      <c r="Q78" s="28" t="s">
        <v>595</v>
      </c>
      <c r="R78" s="30" t="s">
        <v>596</v>
      </c>
      <c r="S78" s="37" t="s">
        <v>1237</v>
      </c>
    </row>
    <row r="79" spans="1:19" ht="46" customHeight="1">
      <c r="A79" s="27" t="s">
        <v>603</v>
      </c>
      <c r="B79" s="28" t="s">
        <v>604</v>
      </c>
      <c r="C79" s="29" t="s">
        <v>44</v>
      </c>
      <c r="D79" s="29" t="s">
        <v>13</v>
      </c>
      <c r="E79" s="28" t="s">
        <v>605</v>
      </c>
      <c r="F79" s="29" t="s">
        <v>5</v>
      </c>
      <c r="G79" s="29" t="s">
        <v>12</v>
      </c>
      <c r="H79" s="28" t="s">
        <v>606</v>
      </c>
      <c r="I79" s="28" t="s">
        <v>607</v>
      </c>
      <c r="J79" s="28" t="s">
        <v>377</v>
      </c>
      <c r="K79" s="28"/>
      <c r="L79" s="28" t="s">
        <v>604</v>
      </c>
      <c r="M79" s="28" t="s">
        <v>608</v>
      </c>
      <c r="N79" s="28" t="s">
        <v>609</v>
      </c>
      <c r="O79" s="28" t="s">
        <v>610</v>
      </c>
      <c r="P79" s="28" t="s">
        <v>611</v>
      </c>
      <c r="Q79" s="28" t="s">
        <v>612</v>
      </c>
      <c r="R79" s="30" t="s">
        <v>613</v>
      </c>
      <c r="S79" s="37" t="s">
        <v>1238</v>
      </c>
    </row>
    <row r="80" spans="1:19" ht="46" customHeight="1">
      <c r="A80" s="27" t="s">
        <v>614</v>
      </c>
      <c r="B80" s="28" t="s">
        <v>615</v>
      </c>
      <c r="C80" s="29" t="s">
        <v>44</v>
      </c>
      <c r="D80" s="29" t="s">
        <v>13</v>
      </c>
      <c r="E80" s="28" t="s">
        <v>605</v>
      </c>
      <c r="F80" s="29" t="s">
        <v>5</v>
      </c>
      <c r="G80" s="29" t="s">
        <v>12</v>
      </c>
      <c r="H80" s="28" t="s">
        <v>616</v>
      </c>
      <c r="I80" s="28" t="s">
        <v>318</v>
      </c>
      <c r="J80" s="28" t="s">
        <v>377</v>
      </c>
      <c r="K80" s="28"/>
      <c r="L80" s="28" t="s">
        <v>615</v>
      </c>
      <c r="M80" s="28" t="s">
        <v>617</v>
      </c>
      <c r="N80" s="28" t="s">
        <v>618</v>
      </c>
      <c r="O80" s="28" t="s">
        <v>619</v>
      </c>
      <c r="P80" s="28" t="s">
        <v>620</v>
      </c>
      <c r="Q80" s="28" t="s">
        <v>612</v>
      </c>
      <c r="R80" s="30" t="s">
        <v>613</v>
      </c>
      <c r="S80" s="37" t="s">
        <v>1239</v>
      </c>
    </row>
    <row r="81" spans="1:19" ht="46" customHeight="1">
      <c r="A81" s="27" t="s">
        <v>621</v>
      </c>
      <c r="B81" s="28" t="s">
        <v>622</v>
      </c>
      <c r="C81" s="29" t="s">
        <v>44</v>
      </c>
      <c r="D81" s="29" t="s">
        <v>13</v>
      </c>
      <c r="E81" s="28" t="s">
        <v>605</v>
      </c>
      <c r="F81" s="29" t="s">
        <v>5</v>
      </c>
      <c r="G81" s="29" t="s">
        <v>12</v>
      </c>
      <c r="H81" s="28" t="s">
        <v>46</v>
      </c>
      <c r="I81" s="28"/>
      <c r="J81" s="28" t="s">
        <v>377</v>
      </c>
      <c r="K81" s="28" t="s">
        <v>102</v>
      </c>
      <c r="L81" s="28" t="s">
        <v>622</v>
      </c>
      <c r="M81" s="28" t="s">
        <v>623</v>
      </c>
      <c r="N81" s="28" t="s">
        <v>624</v>
      </c>
      <c r="O81" s="28" t="s">
        <v>625</v>
      </c>
      <c r="P81" s="28" t="s">
        <v>626</v>
      </c>
      <c r="Q81" s="28" t="s">
        <v>612</v>
      </c>
      <c r="R81" s="30" t="s">
        <v>613</v>
      </c>
      <c r="S81" s="37" t="s">
        <v>1240</v>
      </c>
    </row>
    <row r="82" spans="1:19" ht="46" customHeight="1">
      <c r="A82" s="27" t="s">
        <v>627</v>
      </c>
      <c r="B82" s="28" t="s">
        <v>628</v>
      </c>
      <c r="C82" s="29" t="s">
        <v>44</v>
      </c>
      <c r="D82" s="29" t="s">
        <v>13</v>
      </c>
      <c r="E82" s="28" t="s">
        <v>605</v>
      </c>
      <c r="F82" s="29" t="s">
        <v>5</v>
      </c>
      <c r="G82" s="29" t="s">
        <v>22</v>
      </c>
      <c r="H82" s="28" t="s">
        <v>606</v>
      </c>
      <c r="I82" s="28"/>
      <c r="J82" s="28"/>
      <c r="K82" s="28" t="s">
        <v>123</v>
      </c>
      <c r="L82" s="28" t="s">
        <v>628</v>
      </c>
      <c r="M82" s="28" t="s">
        <v>629</v>
      </c>
      <c r="N82" s="28" t="s">
        <v>630</v>
      </c>
      <c r="O82" s="28" t="s">
        <v>631</v>
      </c>
      <c r="P82" s="28" t="s">
        <v>632</v>
      </c>
      <c r="Q82" s="28" t="s">
        <v>612</v>
      </c>
      <c r="R82" s="30" t="s">
        <v>613</v>
      </c>
      <c r="S82" s="37" t="s">
        <v>1241</v>
      </c>
    </row>
    <row r="83" spans="1:19" ht="46" customHeight="1">
      <c r="A83" s="27" t="s">
        <v>633</v>
      </c>
      <c r="B83" s="28" t="s">
        <v>634</v>
      </c>
      <c r="C83" s="29" t="s">
        <v>44</v>
      </c>
      <c r="D83" s="29" t="s">
        <v>13</v>
      </c>
      <c r="E83" s="28" t="s">
        <v>605</v>
      </c>
      <c r="F83" s="29" t="s">
        <v>5</v>
      </c>
      <c r="G83" s="29" t="s">
        <v>12</v>
      </c>
      <c r="H83" s="28" t="s">
        <v>606</v>
      </c>
      <c r="I83" s="28" t="s">
        <v>47</v>
      </c>
      <c r="J83" s="28" t="s">
        <v>141</v>
      </c>
      <c r="K83" s="28"/>
      <c r="L83" s="28" t="s">
        <v>634</v>
      </c>
      <c r="M83" s="28" t="s">
        <v>635</v>
      </c>
      <c r="N83" s="28" t="s">
        <v>636</v>
      </c>
      <c r="O83" s="28" t="s">
        <v>637</v>
      </c>
      <c r="P83" s="28" t="s">
        <v>638</v>
      </c>
      <c r="Q83" s="28" t="s">
        <v>612</v>
      </c>
      <c r="R83" s="30" t="s">
        <v>613</v>
      </c>
      <c r="S83" s="37" t="s">
        <v>1242</v>
      </c>
    </row>
    <row r="84" spans="1:19" ht="46" customHeight="1">
      <c r="A84" s="27" t="s">
        <v>639</v>
      </c>
      <c r="B84" s="28" t="s">
        <v>640</v>
      </c>
      <c r="C84" s="29" t="s">
        <v>44</v>
      </c>
      <c r="D84" s="29" t="s">
        <v>13</v>
      </c>
      <c r="E84" s="28" t="s">
        <v>605</v>
      </c>
      <c r="F84" s="29" t="s">
        <v>5</v>
      </c>
      <c r="G84" s="29" t="s">
        <v>20</v>
      </c>
      <c r="H84" s="28" t="s">
        <v>606</v>
      </c>
      <c r="I84" s="28"/>
      <c r="J84" s="28" t="s">
        <v>377</v>
      </c>
      <c r="K84" s="28"/>
      <c r="L84" s="28" t="s">
        <v>640</v>
      </c>
      <c r="M84" s="28" t="s">
        <v>641</v>
      </c>
      <c r="N84" s="28" t="s">
        <v>642</v>
      </c>
      <c r="O84" s="28" t="s">
        <v>643</v>
      </c>
      <c r="P84" s="28" t="s">
        <v>644</v>
      </c>
      <c r="Q84" s="28" t="s">
        <v>612</v>
      </c>
      <c r="R84" s="30" t="s">
        <v>613</v>
      </c>
      <c r="S84" s="37" t="s">
        <v>1243</v>
      </c>
    </row>
    <row r="85" spans="1:19" ht="46" customHeight="1">
      <c r="A85" s="27" t="s">
        <v>645</v>
      </c>
      <c r="B85" s="28" t="s">
        <v>646</v>
      </c>
      <c r="C85" s="29" t="s">
        <v>44</v>
      </c>
      <c r="D85" s="29" t="s">
        <v>13</v>
      </c>
      <c r="E85" s="28" t="s">
        <v>605</v>
      </c>
      <c r="F85" s="29" t="s">
        <v>5</v>
      </c>
      <c r="G85" s="29" t="s">
        <v>12</v>
      </c>
      <c r="H85" s="28" t="s">
        <v>57</v>
      </c>
      <c r="I85" s="28" t="s">
        <v>140</v>
      </c>
      <c r="J85" s="28"/>
      <c r="K85" s="28" t="s">
        <v>88</v>
      </c>
      <c r="L85" s="28" t="s">
        <v>646</v>
      </c>
      <c r="M85" s="28" t="s">
        <v>647</v>
      </c>
      <c r="N85" s="28" t="s">
        <v>648</v>
      </c>
      <c r="O85" s="28" t="s">
        <v>649</v>
      </c>
      <c r="P85" s="28" t="s">
        <v>650</v>
      </c>
      <c r="Q85" s="28" t="s">
        <v>612</v>
      </c>
      <c r="R85" s="30" t="s">
        <v>613</v>
      </c>
      <c r="S85" s="37" t="s">
        <v>1244</v>
      </c>
    </row>
    <row r="86" spans="1:19" ht="46" customHeight="1">
      <c r="A86" s="27" t="s">
        <v>651</v>
      </c>
      <c r="B86" s="28" t="s">
        <v>652</v>
      </c>
      <c r="C86" s="29" t="s">
        <v>44</v>
      </c>
      <c r="D86" s="29" t="s">
        <v>13</v>
      </c>
      <c r="E86" s="28" t="s">
        <v>605</v>
      </c>
      <c r="F86" s="29" t="s">
        <v>6</v>
      </c>
      <c r="G86" s="29" t="s">
        <v>12</v>
      </c>
      <c r="H86" s="28" t="s">
        <v>46</v>
      </c>
      <c r="I86" s="28" t="s">
        <v>47</v>
      </c>
      <c r="J86" s="28"/>
      <c r="K86" s="28" t="s">
        <v>102</v>
      </c>
      <c r="L86" s="28" t="s">
        <v>652</v>
      </c>
      <c r="M86" s="28" t="s">
        <v>653</v>
      </c>
      <c r="N86" s="28" t="s">
        <v>654</v>
      </c>
      <c r="O86" s="28" t="s">
        <v>655</v>
      </c>
      <c r="P86" s="28" t="s">
        <v>656</v>
      </c>
      <c r="Q86" s="28" t="s">
        <v>612</v>
      </c>
      <c r="R86" s="30" t="s">
        <v>613</v>
      </c>
      <c r="S86" s="37" t="s">
        <v>1245</v>
      </c>
    </row>
    <row r="87" spans="1:19" ht="46" customHeight="1">
      <c r="A87" s="27" t="s">
        <v>657</v>
      </c>
      <c r="B87" s="28" t="s">
        <v>658</v>
      </c>
      <c r="C87" s="29" t="s">
        <v>44</v>
      </c>
      <c r="D87" s="29" t="s">
        <v>13</v>
      </c>
      <c r="E87" s="28" t="s">
        <v>605</v>
      </c>
      <c r="F87" s="29" t="s">
        <v>5</v>
      </c>
      <c r="G87" s="29" t="s">
        <v>12</v>
      </c>
      <c r="H87" s="28" t="s">
        <v>57</v>
      </c>
      <c r="I87" s="28" t="s">
        <v>47</v>
      </c>
      <c r="J87" s="28" t="s">
        <v>156</v>
      </c>
      <c r="K87" s="28"/>
      <c r="L87" s="28" t="s">
        <v>658</v>
      </c>
      <c r="M87" s="28" t="s">
        <v>659</v>
      </c>
      <c r="N87" s="28" t="s">
        <v>660</v>
      </c>
      <c r="O87" s="28" t="s">
        <v>661</v>
      </c>
      <c r="P87" s="28" t="s">
        <v>662</v>
      </c>
      <c r="Q87" s="28" t="s">
        <v>612</v>
      </c>
      <c r="R87" s="30" t="s">
        <v>613</v>
      </c>
      <c r="S87" s="37" t="s">
        <v>1246</v>
      </c>
    </row>
    <row r="88" spans="1:19" ht="46" customHeight="1">
      <c r="A88" s="27" t="s">
        <v>663</v>
      </c>
      <c r="B88" s="28" t="s">
        <v>664</v>
      </c>
      <c r="C88" s="29" t="s">
        <v>44</v>
      </c>
      <c r="D88" s="29" t="s">
        <v>13</v>
      </c>
      <c r="E88" s="28" t="s">
        <v>605</v>
      </c>
      <c r="F88" s="29" t="s">
        <v>6</v>
      </c>
      <c r="G88" s="29" t="s">
        <v>12</v>
      </c>
      <c r="H88" s="28" t="s">
        <v>665</v>
      </c>
      <c r="I88" s="28"/>
      <c r="J88" s="28"/>
      <c r="K88" s="28" t="s">
        <v>666</v>
      </c>
      <c r="L88" s="28" t="s">
        <v>664</v>
      </c>
      <c r="M88" s="28" t="s">
        <v>667</v>
      </c>
      <c r="N88" s="28" t="s">
        <v>668</v>
      </c>
      <c r="O88" s="28" t="s">
        <v>669</v>
      </c>
      <c r="P88" s="28" t="s">
        <v>670</v>
      </c>
      <c r="Q88" s="28" t="s">
        <v>612</v>
      </c>
      <c r="R88" s="30" t="s">
        <v>613</v>
      </c>
      <c r="S88" s="37" t="s">
        <v>1247</v>
      </c>
    </row>
    <row r="89" spans="1:19" ht="46" customHeight="1">
      <c r="A89" s="27" t="s">
        <v>671</v>
      </c>
      <c r="B89" s="28" t="s">
        <v>672</v>
      </c>
      <c r="C89" s="29" t="s">
        <v>44</v>
      </c>
      <c r="D89" s="29" t="s">
        <v>13</v>
      </c>
      <c r="E89" s="28" t="s">
        <v>673</v>
      </c>
      <c r="F89" s="29" t="s">
        <v>6</v>
      </c>
      <c r="G89" s="29" t="s">
        <v>12</v>
      </c>
      <c r="H89" s="28" t="s">
        <v>674</v>
      </c>
      <c r="I89" s="28" t="s">
        <v>318</v>
      </c>
      <c r="J89" s="28" t="s">
        <v>675</v>
      </c>
      <c r="K89" s="28" t="s">
        <v>370</v>
      </c>
      <c r="L89" s="28" t="s">
        <v>672</v>
      </c>
      <c r="M89" s="28" t="s">
        <v>676</v>
      </c>
      <c r="N89" s="28" t="s">
        <v>677</v>
      </c>
      <c r="O89" s="28" t="s">
        <v>678</v>
      </c>
      <c r="P89" s="28" t="s">
        <v>679</v>
      </c>
      <c r="Q89" s="28" t="s">
        <v>680</v>
      </c>
      <c r="R89" s="30" t="s">
        <v>681</v>
      </c>
      <c r="S89" s="37" t="s">
        <v>1248</v>
      </c>
    </row>
    <row r="90" spans="1:19" ht="46" customHeight="1">
      <c r="A90" s="27" t="s">
        <v>682</v>
      </c>
      <c r="B90" s="28" t="s">
        <v>683</v>
      </c>
      <c r="C90" s="29" t="s">
        <v>44</v>
      </c>
      <c r="D90" s="29" t="s">
        <v>13</v>
      </c>
      <c r="E90" s="28" t="s">
        <v>673</v>
      </c>
      <c r="F90" s="29" t="s">
        <v>5</v>
      </c>
      <c r="G90" s="29" t="s">
        <v>14</v>
      </c>
      <c r="H90" s="28" t="s">
        <v>684</v>
      </c>
      <c r="I90" s="28"/>
      <c r="J90" s="28"/>
      <c r="K90" s="28"/>
      <c r="L90" s="28" t="s">
        <v>683</v>
      </c>
      <c r="M90" s="28" t="s">
        <v>685</v>
      </c>
      <c r="N90" s="28" t="s">
        <v>686</v>
      </c>
      <c r="O90" s="28" t="s">
        <v>687</v>
      </c>
      <c r="P90" s="28" t="s">
        <v>688</v>
      </c>
      <c r="Q90" s="28" t="s">
        <v>680</v>
      </c>
      <c r="R90" s="30" t="s">
        <v>681</v>
      </c>
      <c r="S90" s="37" t="s">
        <v>1249</v>
      </c>
    </row>
    <row r="91" spans="1:19" ht="46" customHeight="1">
      <c r="A91" s="27" t="s">
        <v>689</v>
      </c>
      <c r="B91" s="28" t="s">
        <v>690</v>
      </c>
      <c r="C91" s="29" t="s">
        <v>44</v>
      </c>
      <c r="D91" s="29" t="s">
        <v>13</v>
      </c>
      <c r="E91" s="28" t="s">
        <v>673</v>
      </c>
      <c r="F91" s="29" t="s">
        <v>6</v>
      </c>
      <c r="G91" s="29" t="s">
        <v>12</v>
      </c>
      <c r="H91" s="28" t="s">
        <v>684</v>
      </c>
      <c r="I91" s="28" t="s">
        <v>140</v>
      </c>
      <c r="J91" s="28" t="s">
        <v>675</v>
      </c>
      <c r="K91" s="28" t="s">
        <v>246</v>
      </c>
      <c r="L91" s="28" t="s">
        <v>690</v>
      </c>
      <c r="M91" s="28" t="s">
        <v>691</v>
      </c>
      <c r="N91" s="28" t="s">
        <v>692</v>
      </c>
      <c r="O91" s="28" t="s">
        <v>693</v>
      </c>
      <c r="P91" s="28" t="s">
        <v>694</v>
      </c>
      <c r="Q91" s="28" t="s">
        <v>680</v>
      </c>
      <c r="R91" s="30" t="s">
        <v>681</v>
      </c>
      <c r="S91" s="37" t="s">
        <v>1250</v>
      </c>
    </row>
    <row r="92" spans="1:19" ht="46" customHeight="1">
      <c r="A92" s="27" t="s">
        <v>695</v>
      </c>
      <c r="B92" s="28" t="s">
        <v>696</v>
      </c>
      <c r="C92" s="29" t="s">
        <v>44</v>
      </c>
      <c r="D92" s="29" t="s">
        <v>13</v>
      </c>
      <c r="E92" s="28" t="s">
        <v>673</v>
      </c>
      <c r="F92" s="29" t="s">
        <v>5</v>
      </c>
      <c r="G92" s="29" t="s">
        <v>12</v>
      </c>
      <c r="H92" s="28" t="s">
        <v>697</v>
      </c>
      <c r="I92" s="28" t="s">
        <v>318</v>
      </c>
      <c r="J92" s="28" t="s">
        <v>698</v>
      </c>
      <c r="K92" s="28"/>
      <c r="L92" s="28" t="s">
        <v>696</v>
      </c>
      <c r="M92" s="28" t="s">
        <v>699</v>
      </c>
      <c r="N92" s="28" t="s">
        <v>700</v>
      </c>
      <c r="O92" s="28" t="s">
        <v>701</v>
      </c>
      <c r="P92" s="28" t="s">
        <v>702</v>
      </c>
      <c r="Q92" s="28" t="s">
        <v>680</v>
      </c>
      <c r="R92" s="30" t="s">
        <v>681</v>
      </c>
      <c r="S92" s="37" t="s">
        <v>1251</v>
      </c>
    </row>
    <row r="93" spans="1:19" ht="46" customHeight="1">
      <c r="A93" s="27" t="s">
        <v>703</v>
      </c>
      <c r="B93" s="28" t="s">
        <v>704</v>
      </c>
      <c r="C93" s="29" t="s">
        <v>44</v>
      </c>
      <c r="D93" s="29" t="s">
        <v>13</v>
      </c>
      <c r="E93" s="28" t="s">
        <v>673</v>
      </c>
      <c r="F93" s="29" t="s">
        <v>6</v>
      </c>
      <c r="G93" s="29" t="s">
        <v>12</v>
      </c>
      <c r="H93" s="28" t="s">
        <v>697</v>
      </c>
      <c r="I93" s="28" t="s">
        <v>184</v>
      </c>
      <c r="J93" s="28" t="s">
        <v>412</v>
      </c>
      <c r="K93" s="28" t="s">
        <v>705</v>
      </c>
      <c r="L93" s="28" t="s">
        <v>704</v>
      </c>
      <c r="M93" s="28" t="s">
        <v>706</v>
      </c>
      <c r="N93" s="28" t="s">
        <v>707</v>
      </c>
      <c r="O93" s="28" t="s">
        <v>708</v>
      </c>
      <c r="P93" s="28" t="s">
        <v>709</v>
      </c>
      <c r="Q93" s="28" t="s">
        <v>680</v>
      </c>
      <c r="R93" s="30" t="s">
        <v>681</v>
      </c>
      <c r="S93" s="37" t="s">
        <v>1252</v>
      </c>
    </row>
    <row r="94" spans="1:19" ht="46" customHeight="1">
      <c r="A94" s="27" t="s">
        <v>710</v>
      </c>
      <c r="B94" s="28" t="s">
        <v>711</v>
      </c>
      <c r="C94" s="29" t="s">
        <v>44</v>
      </c>
      <c r="D94" s="29" t="s">
        <v>13</v>
      </c>
      <c r="E94" s="28" t="s">
        <v>712</v>
      </c>
      <c r="F94" s="29" t="s">
        <v>6</v>
      </c>
      <c r="G94" s="29" t="s">
        <v>12</v>
      </c>
      <c r="H94" s="28" t="s">
        <v>713</v>
      </c>
      <c r="I94" s="28" t="s">
        <v>318</v>
      </c>
      <c r="J94" s="28" t="s">
        <v>714</v>
      </c>
      <c r="K94" s="28"/>
      <c r="L94" s="28" t="s">
        <v>711</v>
      </c>
      <c r="M94" s="28" t="s">
        <v>715</v>
      </c>
      <c r="N94" s="28" t="s">
        <v>716</v>
      </c>
      <c r="O94" s="28" t="s">
        <v>717</v>
      </c>
      <c r="P94" s="28" t="s">
        <v>718</v>
      </c>
      <c r="Q94" s="28" t="s">
        <v>719</v>
      </c>
      <c r="R94" s="30" t="s">
        <v>720</v>
      </c>
      <c r="S94" s="37" t="s">
        <v>1253</v>
      </c>
    </row>
    <row r="95" spans="1:19" ht="46" customHeight="1">
      <c r="A95" s="27" t="s">
        <v>721</v>
      </c>
      <c r="B95" s="28" t="s">
        <v>722</v>
      </c>
      <c r="C95" s="29" t="s">
        <v>44</v>
      </c>
      <c r="D95" s="29" t="s">
        <v>13</v>
      </c>
      <c r="E95" s="28" t="s">
        <v>712</v>
      </c>
      <c r="F95" s="29" t="s">
        <v>5</v>
      </c>
      <c r="G95" s="29" t="s">
        <v>14</v>
      </c>
      <c r="H95" s="28" t="s">
        <v>713</v>
      </c>
      <c r="I95" s="28"/>
      <c r="J95" s="28" t="s">
        <v>723</v>
      </c>
      <c r="K95" s="28"/>
      <c r="L95" s="28" t="s">
        <v>722</v>
      </c>
      <c r="M95" s="28" t="s">
        <v>724</v>
      </c>
      <c r="N95" s="28" t="s">
        <v>725</v>
      </c>
      <c r="O95" s="28" t="s">
        <v>726</v>
      </c>
      <c r="P95" s="28" t="s">
        <v>727</v>
      </c>
      <c r="Q95" s="28" t="s">
        <v>719</v>
      </c>
      <c r="R95" s="30" t="s">
        <v>720</v>
      </c>
      <c r="S95" s="37" t="s">
        <v>1254</v>
      </c>
    </row>
    <row r="96" spans="1:19" ht="46" customHeight="1">
      <c r="A96" s="27" t="s">
        <v>728</v>
      </c>
      <c r="B96" s="28" t="s">
        <v>729</v>
      </c>
      <c r="C96" s="29" t="s">
        <v>44</v>
      </c>
      <c r="D96" s="29" t="s">
        <v>13</v>
      </c>
      <c r="E96" s="28" t="s">
        <v>712</v>
      </c>
      <c r="F96" s="29" t="s">
        <v>6</v>
      </c>
      <c r="G96" s="29" t="s">
        <v>12</v>
      </c>
      <c r="H96" s="28" t="s">
        <v>713</v>
      </c>
      <c r="I96" s="28"/>
      <c r="J96" s="28" t="s">
        <v>714</v>
      </c>
      <c r="K96" s="28" t="s">
        <v>705</v>
      </c>
      <c r="L96" s="28" t="s">
        <v>729</v>
      </c>
      <c r="M96" s="28" t="s">
        <v>730</v>
      </c>
      <c r="N96" s="28" t="s">
        <v>731</v>
      </c>
      <c r="O96" s="28" t="s">
        <v>732</v>
      </c>
      <c r="P96" s="28" t="s">
        <v>733</v>
      </c>
      <c r="Q96" s="28" t="s">
        <v>719</v>
      </c>
      <c r="R96" s="30" t="s">
        <v>720</v>
      </c>
      <c r="S96" s="37" t="s">
        <v>1255</v>
      </c>
    </row>
    <row r="97" spans="1:19" ht="46" customHeight="1">
      <c r="A97" s="27" t="s">
        <v>734</v>
      </c>
      <c r="B97" s="28" t="s">
        <v>735</v>
      </c>
      <c r="C97" s="29" t="s">
        <v>44</v>
      </c>
      <c r="D97" s="29" t="s">
        <v>13</v>
      </c>
      <c r="E97" s="28" t="s">
        <v>673</v>
      </c>
      <c r="F97" s="29" t="s">
        <v>6</v>
      </c>
      <c r="G97" s="29" t="s">
        <v>12</v>
      </c>
      <c r="H97" s="28" t="s">
        <v>736</v>
      </c>
      <c r="I97" s="28" t="s">
        <v>95</v>
      </c>
      <c r="J97" s="28"/>
      <c r="K97" s="28" t="s">
        <v>88</v>
      </c>
      <c r="L97" s="28" t="s">
        <v>735</v>
      </c>
      <c r="M97" s="28" t="s">
        <v>737</v>
      </c>
      <c r="N97" s="28" t="s">
        <v>738</v>
      </c>
      <c r="O97" s="28" t="s">
        <v>739</v>
      </c>
      <c r="P97" s="28" t="s">
        <v>740</v>
      </c>
      <c r="Q97" s="28" t="s">
        <v>680</v>
      </c>
      <c r="R97" s="30" t="s">
        <v>681</v>
      </c>
      <c r="S97" s="37" t="s">
        <v>1256</v>
      </c>
    </row>
    <row r="98" spans="1:19" ht="46" customHeight="1">
      <c r="A98" s="27" t="s">
        <v>741</v>
      </c>
      <c r="B98" s="28" t="s">
        <v>742</v>
      </c>
      <c r="C98" s="29" t="s">
        <v>44</v>
      </c>
      <c r="D98" s="29" t="s">
        <v>13</v>
      </c>
      <c r="E98" s="28" t="s">
        <v>673</v>
      </c>
      <c r="F98" s="29" t="s">
        <v>6</v>
      </c>
      <c r="G98" s="29" t="s">
        <v>12</v>
      </c>
      <c r="H98" s="28" t="s">
        <v>743</v>
      </c>
      <c r="I98" s="28" t="s">
        <v>260</v>
      </c>
      <c r="J98" s="28"/>
      <c r="K98" s="28"/>
      <c r="L98" s="28" t="s">
        <v>742</v>
      </c>
      <c r="M98" s="28" t="s">
        <v>744</v>
      </c>
      <c r="N98" s="28" t="s">
        <v>745</v>
      </c>
      <c r="O98" s="28" t="s">
        <v>746</v>
      </c>
      <c r="P98" s="28" t="s">
        <v>747</v>
      </c>
      <c r="Q98" s="28" t="s">
        <v>680</v>
      </c>
      <c r="R98" s="30" t="s">
        <v>681</v>
      </c>
      <c r="S98" s="37" t="s">
        <v>1257</v>
      </c>
    </row>
    <row r="99" spans="1:19" ht="46" customHeight="1">
      <c r="A99" s="27" t="s">
        <v>748</v>
      </c>
      <c r="B99" s="28" t="s">
        <v>749</v>
      </c>
      <c r="C99" s="29" t="s">
        <v>44</v>
      </c>
      <c r="D99" s="29" t="s">
        <v>13</v>
      </c>
      <c r="E99" s="28" t="s">
        <v>750</v>
      </c>
      <c r="F99" s="29" t="s">
        <v>5</v>
      </c>
      <c r="G99" s="29" t="s">
        <v>20</v>
      </c>
      <c r="H99" s="28" t="s">
        <v>751</v>
      </c>
      <c r="I99" s="28"/>
      <c r="J99" s="28"/>
      <c r="K99" s="28"/>
      <c r="L99" s="28" t="s">
        <v>749</v>
      </c>
      <c r="M99" s="28" t="s">
        <v>752</v>
      </c>
      <c r="N99" s="28" t="s">
        <v>753</v>
      </c>
      <c r="O99" s="28" t="s">
        <v>60</v>
      </c>
      <c r="P99" s="28" t="s">
        <v>754</v>
      </c>
      <c r="Q99" s="28" t="s">
        <v>755</v>
      </c>
      <c r="R99" s="30" t="s">
        <v>756</v>
      </c>
      <c r="S99" s="37" t="s">
        <v>1258</v>
      </c>
    </row>
    <row r="100" spans="1:19" ht="46" customHeight="1">
      <c r="A100" s="27" t="s">
        <v>757</v>
      </c>
      <c r="B100" s="28" t="s">
        <v>758</v>
      </c>
      <c r="C100" s="29" t="s">
        <v>44</v>
      </c>
      <c r="D100" s="29" t="s">
        <v>13</v>
      </c>
      <c r="E100" s="28" t="s">
        <v>750</v>
      </c>
      <c r="F100" s="29" t="s">
        <v>6</v>
      </c>
      <c r="G100" s="29" t="s">
        <v>12</v>
      </c>
      <c r="H100" s="28" t="s">
        <v>46</v>
      </c>
      <c r="I100" s="28" t="s">
        <v>184</v>
      </c>
      <c r="J100" s="28" t="s">
        <v>412</v>
      </c>
      <c r="K100" s="28" t="s">
        <v>344</v>
      </c>
      <c r="L100" s="28" t="s">
        <v>758</v>
      </c>
      <c r="M100" s="28" t="s">
        <v>759</v>
      </c>
      <c r="N100" s="28" t="s">
        <v>760</v>
      </c>
      <c r="O100" s="28" t="s">
        <v>761</v>
      </c>
      <c r="P100" s="28" t="s">
        <v>762</v>
      </c>
      <c r="Q100" s="28" t="s">
        <v>755</v>
      </c>
      <c r="R100" s="30" t="s">
        <v>756</v>
      </c>
      <c r="S100" s="37" t="s">
        <v>1259</v>
      </c>
    </row>
    <row r="101" spans="1:19" ht="46" customHeight="1">
      <c r="A101" s="27" t="s">
        <v>763</v>
      </c>
      <c r="B101" s="28" t="s">
        <v>764</v>
      </c>
      <c r="C101" s="29" t="s">
        <v>44</v>
      </c>
      <c r="D101" s="29" t="s">
        <v>13</v>
      </c>
      <c r="E101" s="28" t="s">
        <v>765</v>
      </c>
      <c r="F101" s="29" t="s">
        <v>6</v>
      </c>
      <c r="G101" s="29" t="s">
        <v>12</v>
      </c>
      <c r="H101" s="28" t="s">
        <v>606</v>
      </c>
      <c r="I101" s="28"/>
      <c r="J101" s="28" t="s">
        <v>766</v>
      </c>
      <c r="K101" s="28" t="s">
        <v>705</v>
      </c>
      <c r="L101" s="28" t="s">
        <v>764</v>
      </c>
      <c r="M101" s="28" t="s">
        <v>767</v>
      </c>
      <c r="N101" s="28" t="s">
        <v>768</v>
      </c>
      <c r="O101" s="28" t="s">
        <v>769</v>
      </c>
      <c r="P101" s="28" t="s">
        <v>770</v>
      </c>
      <c r="Q101" s="28" t="s">
        <v>771</v>
      </c>
      <c r="R101" s="30" t="s">
        <v>772</v>
      </c>
      <c r="S101" s="37" t="s">
        <v>1260</v>
      </c>
    </row>
    <row r="102" spans="1:19" ht="46" customHeight="1">
      <c r="A102" s="27" t="s">
        <v>773</v>
      </c>
      <c r="B102" s="28" t="s">
        <v>774</v>
      </c>
      <c r="C102" s="29" t="s">
        <v>44</v>
      </c>
      <c r="D102" s="29" t="s">
        <v>13</v>
      </c>
      <c r="E102" s="28" t="s">
        <v>765</v>
      </c>
      <c r="F102" s="29" t="s">
        <v>6</v>
      </c>
      <c r="G102" s="29" t="s">
        <v>12</v>
      </c>
      <c r="H102" s="28" t="s">
        <v>775</v>
      </c>
      <c r="I102" s="28" t="s">
        <v>140</v>
      </c>
      <c r="J102" s="28" t="s">
        <v>766</v>
      </c>
      <c r="K102" s="28" t="s">
        <v>705</v>
      </c>
      <c r="L102" s="28" t="s">
        <v>774</v>
      </c>
      <c r="M102" s="28" t="s">
        <v>776</v>
      </c>
      <c r="N102" s="28" t="s">
        <v>777</v>
      </c>
      <c r="O102" s="28" t="s">
        <v>778</v>
      </c>
      <c r="P102" s="28" t="s">
        <v>779</v>
      </c>
      <c r="Q102" s="28" t="s">
        <v>771</v>
      </c>
      <c r="R102" s="30" t="s">
        <v>772</v>
      </c>
      <c r="S102" s="37" t="s">
        <v>1261</v>
      </c>
    </row>
    <row r="103" spans="1:19" ht="46" customHeight="1">
      <c r="A103" s="27" t="s">
        <v>780</v>
      </c>
      <c r="B103" s="28" t="s">
        <v>781</v>
      </c>
      <c r="C103" s="29" t="s">
        <v>44</v>
      </c>
      <c r="D103" s="29" t="s">
        <v>13</v>
      </c>
      <c r="E103" s="28" t="s">
        <v>782</v>
      </c>
      <c r="F103" s="29" t="s">
        <v>6</v>
      </c>
      <c r="G103" s="29" t="s">
        <v>14</v>
      </c>
      <c r="H103" s="28" t="s">
        <v>541</v>
      </c>
      <c r="I103" s="28"/>
      <c r="J103" s="28"/>
      <c r="K103" s="28"/>
      <c r="L103" s="28" t="s">
        <v>781</v>
      </c>
      <c r="M103" s="28" t="s">
        <v>783</v>
      </c>
      <c r="N103" s="28" t="s">
        <v>784</v>
      </c>
      <c r="O103" s="28" t="s">
        <v>60</v>
      </c>
      <c r="P103" s="28" t="s">
        <v>785</v>
      </c>
      <c r="Q103" s="28" t="s">
        <v>786</v>
      </c>
      <c r="R103" s="30" t="s">
        <v>787</v>
      </c>
      <c r="S103" s="37" t="s">
        <v>1262</v>
      </c>
    </row>
    <row r="104" spans="1:19" ht="46" customHeight="1">
      <c r="A104" s="27" t="s">
        <v>788</v>
      </c>
      <c r="B104" s="28" t="s">
        <v>789</v>
      </c>
      <c r="C104" s="29" t="s">
        <v>44</v>
      </c>
      <c r="D104" s="29" t="s">
        <v>13</v>
      </c>
      <c r="E104" s="28" t="s">
        <v>750</v>
      </c>
      <c r="F104" s="29" t="s">
        <v>5</v>
      </c>
      <c r="G104" s="29" t="s">
        <v>12</v>
      </c>
      <c r="H104" s="28" t="s">
        <v>46</v>
      </c>
      <c r="I104" s="28" t="s">
        <v>184</v>
      </c>
      <c r="J104" s="28" t="s">
        <v>790</v>
      </c>
      <c r="K104" s="28" t="s">
        <v>88</v>
      </c>
      <c r="L104" s="28" t="s">
        <v>789</v>
      </c>
      <c r="M104" s="28" t="s">
        <v>791</v>
      </c>
      <c r="N104" s="28" t="s">
        <v>792</v>
      </c>
      <c r="O104" s="28" t="s">
        <v>793</v>
      </c>
      <c r="P104" s="28" t="s">
        <v>794</v>
      </c>
      <c r="Q104" s="28" t="s">
        <v>755</v>
      </c>
      <c r="R104" s="30" t="s">
        <v>756</v>
      </c>
      <c r="S104" s="37" t="s">
        <v>1263</v>
      </c>
    </row>
    <row r="105" spans="1:19" ht="46" customHeight="1">
      <c r="A105" s="27" t="s">
        <v>795</v>
      </c>
      <c r="B105" s="28" t="s">
        <v>796</v>
      </c>
      <c r="C105" s="29" t="s">
        <v>44</v>
      </c>
      <c r="D105" s="29" t="s">
        <v>13</v>
      </c>
      <c r="E105" s="28" t="s">
        <v>797</v>
      </c>
      <c r="F105" s="29" t="s">
        <v>5</v>
      </c>
      <c r="G105" s="29" t="s">
        <v>12</v>
      </c>
      <c r="H105" s="28" t="s">
        <v>268</v>
      </c>
      <c r="I105" s="28" t="s">
        <v>95</v>
      </c>
      <c r="J105" s="28" t="s">
        <v>48</v>
      </c>
      <c r="K105" s="28"/>
      <c r="L105" s="28" t="s">
        <v>796</v>
      </c>
      <c r="M105" s="28" t="s">
        <v>798</v>
      </c>
      <c r="N105" s="28" t="s">
        <v>799</v>
      </c>
      <c r="O105" s="28" t="s">
        <v>800</v>
      </c>
      <c r="P105" s="28" t="s">
        <v>801</v>
      </c>
      <c r="Q105" s="28" t="s">
        <v>802</v>
      </c>
      <c r="R105" s="30" t="s">
        <v>803</v>
      </c>
      <c r="S105" s="37" t="s">
        <v>1264</v>
      </c>
    </row>
    <row r="106" spans="1:19" ht="46" customHeight="1">
      <c r="A106" s="27" t="s">
        <v>804</v>
      </c>
      <c r="B106" s="28" t="s">
        <v>805</v>
      </c>
      <c r="C106" s="29" t="s">
        <v>44</v>
      </c>
      <c r="D106" s="29" t="s">
        <v>13</v>
      </c>
      <c r="E106" s="28" t="s">
        <v>797</v>
      </c>
      <c r="F106" s="29" t="s">
        <v>5</v>
      </c>
      <c r="G106" s="29" t="s">
        <v>21</v>
      </c>
      <c r="H106" s="28" t="s">
        <v>268</v>
      </c>
      <c r="I106" s="28" t="s">
        <v>260</v>
      </c>
      <c r="J106" s="28"/>
      <c r="K106" s="28" t="s">
        <v>261</v>
      </c>
      <c r="L106" s="28" t="s">
        <v>805</v>
      </c>
      <c r="M106" s="28" t="s">
        <v>806</v>
      </c>
      <c r="N106" s="28" t="s">
        <v>807</v>
      </c>
      <c r="O106" s="28" t="s">
        <v>483</v>
      </c>
      <c r="P106" s="28" t="s">
        <v>808</v>
      </c>
      <c r="Q106" s="28" t="s">
        <v>802</v>
      </c>
      <c r="R106" s="30" t="s">
        <v>803</v>
      </c>
      <c r="S106" s="37" t="s">
        <v>1265</v>
      </c>
    </row>
    <row r="107" spans="1:19" ht="46" customHeight="1">
      <c r="A107" s="27" t="s">
        <v>809</v>
      </c>
      <c r="B107" s="28" t="s">
        <v>810</v>
      </c>
      <c r="C107" s="29" t="s">
        <v>44</v>
      </c>
      <c r="D107" s="29" t="s">
        <v>13</v>
      </c>
      <c r="E107" s="28" t="s">
        <v>797</v>
      </c>
      <c r="F107" s="29" t="s">
        <v>5</v>
      </c>
      <c r="G107" s="29" t="s">
        <v>12</v>
      </c>
      <c r="H107" s="28" t="s">
        <v>268</v>
      </c>
      <c r="I107" s="28" t="s">
        <v>811</v>
      </c>
      <c r="J107" s="28"/>
      <c r="K107" s="28"/>
      <c r="L107" s="28" t="s">
        <v>810</v>
      </c>
      <c r="M107" s="28" t="s">
        <v>812</v>
      </c>
      <c r="N107" s="28" t="s">
        <v>813</v>
      </c>
      <c r="O107" s="28" t="s">
        <v>814</v>
      </c>
      <c r="P107" s="28" t="s">
        <v>815</v>
      </c>
      <c r="Q107" s="28" t="s">
        <v>802</v>
      </c>
      <c r="R107" s="30" t="s">
        <v>803</v>
      </c>
      <c r="S107" s="37" t="s">
        <v>1265</v>
      </c>
    </row>
    <row r="108" spans="1:19" ht="46" customHeight="1">
      <c r="A108" s="27" t="s">
        <v>816</v>
      </c>
      <c r="B108" s="28" t="s">
        <v>817</v>
      </c>
      <c r="C108" s="29" t="s">
        <v>44</v>
      </c>
      <c r="D108" s="29" t="s">
        <v>13</v>
      </c>
      <c r="E108" s="28" t="s">
        <v>797</v>
      </c>
      <c r="F108" s="29" t="s">
        <v>6</v>
      </c>
      <c r="G108" s="29" t="s">
        <v>23</v>
      </c>
      <c r="H108" s="28" t="s">
        <v>268</v>
      </c>
      <c r="I108" s="28" t="s">
        <v>260</v>
      </c>
      <c r="J108" s="28" t="s">
        <v>818</v>
      </c>
      <c r="K108" s="28" t="s">
        <v>261</v>
      </c>
      <c r="L108" s="28" t="s">
        <v>817</v>
      </c>
      <c r="M108" s="28" t="s">
        <v>819</v>
      </c>
      <c r="N108" s="28" t="s">
        <v>820</v>
      </c>
      <c r="O108" s="28" t="s">
        <v>821</v>
      </c>
      <c r="P108" s="28" t="s">
        <v>822</v>
      </c>
      <c r="Q108" s="28" t="s">
        <v>802</v>
      </c>
      <c r="R108" s="30" t="s">
        <v>803</v>
      </c>
      <c r="S108" s="37" t="s">
        <v>1266</v>
      </c>
    </row>
    <row r="109" spans="1:19" ht="46" customHeight="1">
      <c r="A109" s="27" t="s">
        <v>823</v>
      </c>
      <c r="B109" s="28" t="s">
        <v>824</v>
      </c>
      <c r="C109" s="29" t="s">
        <v>44</v>
      </c>
      <c r="D109" s="29" t="s">
        <v>13</v>
      </c>
      <c r="E109" s="28" t="s">
        <v>797</v>
      </c>
      <c r="F109" s="29" t="s">
        <v>6</v>
      </c>
      <c r="G109" s="29" t="s">
        <v>21</v>
      </c>
      <c r="H109" s="28" t="s">
        <v>268</v>
      </c>
      <c r="I109" s="28" t="s">
        <v>184</v>
      </c>
      <c r="J109" s="28" t="s">
        <v>766</v>
      </c>
      <c r="K109" s="28" t="s">
        <v>88</v>
      </c>
      <c r="L109" s="28" t="s">
        <v>824</v>
      </c>
      <c r="M109" s="28" t="s">
        <v>825</v>
      </c>
      <c r="N109" s="28" t="s">
        <v>826</v>
      </c>
      <c r="O109" s="28" t="s">
        <v>827</v>
      </c>
      <c r="P109" s="28" t="s">
        <v>828</v>
      </c>
      <c r="Q109" s="28" t="s">
        <v>802</v>
      </c>
      <c r="R109" s="30" t="s">
        <v>803</v>
      </c>
      <c r="S109" s="37" t="s">
        <v>1267</v>
      </c>
    </row>
    <row r="110" spans="1:19" ht="46" customHeight="1">
      <c r="A110" s="27" t="s">
        <v>829</v>
      </c>
      <c r="B110" s="28" t="s">
        <v>830</v>
      </c>
      <c r="C110" s="29" t="s">
        <v>44</v>
      </c>
      <c r="D110" s="29" t="s">
        <v>13</v>
      </c>
      <c r="E110" s="28" t="s">
        <v>797</v>
      </c>
      <c r="F110" s="29" t="s">
        <v>5</v>
      </c>
      <c r="G110" s="29" t="s">
        <v>12</v>
      </c>
      <c r="H110" s="28" t="s">
        <v>268</v>
      </c>
      <c r="I110" s="28" t="s">
        <v>184</v>
      </c>
      <c r="J110" s="28" t="s">
        <v>412</v>
      </c>
      <c r="K110" s="28" t="s">
        <v>88</v>
      </c>
      <c r="L110" s="28" t="s">
        <v>830</v>
      </c>
      <c r="M110" s="28" t="s">
        <v>831</v>
      </c>
      <c r="N110" s="28" t="s">
        <v>832</v>
      </c>
      <c r="O110" s="28" t="s">
        <v>833</v>
      </c>
      <c r="P110" s="28" t="s">
        <v>834</v>
      </c>
      <c r="Q110" s="28" t="s">
        <v>802</v>
      </c>
      <c r="R110" s="30" t="s">
        <v>803</v>
      </c>
      <c r="S110" s="37" t="s">
        <v>1268</v>
      </c>
    </row>
    <row r="111" spans="1:19" ht="46" customHeight="1">
      <c r="A111" s="27" t="s">
        <v>835</v>
      </c>
      <c r="B111" s="28" t="s">
        <v>836</v>
      </c>
      <c r="C111" s="29" t="s">
        <v>44</v>
      </c>
      <c r="D111" s="29" t="s">
        <v>13</v>
      </c>
      <c r="E111" s="28" t="s">
        <v>797</v>
      </c>
      <c r="F111" s="29" t="s">
        <v>5</v>
      </c>
      <c r="G111" s="29" t="s">
        <v>12</v>
      </c>
      <c r="H111" s="28" t="s">
        <v>268</v>
      </c>
      <c r="I111" s="28" t="s">
        <v>140</v>
      </c>
      <c r="J111" s="28" t="s">
        <v>837</v>
      </c>
      <c r="K111" s="28"/>
      <c r="L111" s="28" t="s">
        <v>836</v>
      </c>
      <c r="M111" s="28" t="s">
        <v>838</v>
      </c>
      <c r="N111" s="28" t="s">
        <v>839</v>
      </c>
      <c r="O111" s="28" t="s">
        <v>840</v>
      </c>
      <c r="P111" s="28" t="s">
        <v>841</v>
      </c>
      <c r="Q111" s="28" t="s">
        <v>802</v>
      </c>
      <c r="R111" s="30" t="s">
        <v>803</v>
      </c>
      <c r="S111" s="37" t="s">
        <v>1269</v>
      </c>
    </row>
    <row r="112" spans="1:19" ht="46" customHeight="1">
      <c r="A112" s="27" t="s">
        <v>842</v>
      </c>
      <c r="B112" s="28" t="s">
        <v>843</v>
      </c>
      <c r="C112" s="29" t="s">
        <v>44</v>
      </c>
      <c r="D112" s="29" t="s">
        <v>13</v>
      </c>
      <c r="E112" s="28" t="s">
        <v>797</v>
      </c>
      <c r="F112" s="29" t="s">
        <v>6</v>
      </c>
      <c r="G112" s="29" t="s">
        <v>14</v>
      </c>
      <c r="H112" s="28" t="s">
        <v>844</v>
      </c>
      <c r="I112" s="28"/>
      <c r="J112" s="28" t="s">
        <v>156</v>
      </c>
      <c r="K112" s="28"/>
      <c r="L112" s="28" t="s">
        <v>843</v>
      </c>
      <c r="M112" s="28" t="s">
        <v>845</v>
      </c>
      <c r="N112" s="28" t="s">
        <v>846</v>
      </c>
      <c r="O112" s="28" t="s">
        <v>60</v>
      </c>
      <c r="P112" s="28" t="s">
        <v>847</v>
      </c>
      <c r="Q112" s="28" t="s">
        <v>802</v>
      </c>
      <c r="R112" s="30" t="s">
        <v>803</v>
      </c>
      <c r="S112" s="37" t="s">
        <v>1270</v>
      </c>
    </row>
    <row r="113" spans="1:19" ht="46" customHeight="1">
      <c r="A113" s="27" t="s">
        <v>848</v>
      </c>
      <c r="B113" s="28" t="s">
        <v>849</v>
      </c>
      <c r="C113" s="29" t="s">
        <v>44</v>
      </c>
      <c r="D113" s="29" t="s">
        <v>13</v>
      </c>
      <c r="E113" s="28" t="s">
        <v>797</v>
      </c>
      <c r="F113" s="29" t="s">
        <v>5</v>
      </c>
      <c r="G113" s="29" t="s">
        <v>12</v>
      </c>
      <c r="H113" s="28" t="s">
        <v>268</v>
      </c>
      <c r="I113" s="28" t="s">
        <v>95</v>
      </c>
      <c r="J113" s="28" t="s">
        <v>818</v>
      </c>
      <c r="K113" s="28" t="s">
        <v>88</v>
      </c>
      <c r="L113" s="28" t="s">
        <v>849</v>
      </c>
      <c r="M113" s="28" t="s">
        <v>850</v>
      </c>
      <c r="N113" s="28" t="s">
        <v>851</v>
      </c>
      <c r="O113" s="28" t="s">
        <v>852</v>
      </c>
      <c r="P113" s="28" t="s">
        <v>853</v>
      </c>
      <c r="Q113" s="28" t="s">
        <v>802</v>
      </c>
      <c r="R113" s="30" t="s">
        <v>803</v>
      </c>
      <c r="S113" s="37" t="s">
        <v>1264</v>
      </c>
    </row>
    <row r="114" spans="1:19" ht="46" customHeight="1">
      <c r="A114" s="27" t="s">
        <v>854</v>
      </c>
      <c r="B114" s="28" t="s">
        <v>855</v>
      </c>
      <c r="C114" s="29" t="s">
        <v>44</v>
      </c>
      <c r="D114" s="29" t="s">
        <v>13</v>
      </c>
      <c r="E114" s="28" t="s">
        <v>797</v>
      </c>
      <c r="F114" s="29" t="s">
        <v>5</v>
      </c>
      <c r="G114" s="29" t="s">
        <v>12</v>
      </c>
      <c r="H114" s="28" t="s">
        <v>268</v>
      </c>
      <c r="I114" s="28" t="s">
        <v>47</v>
      </c>
      <c r="J114" s="28" t="s">
        <v>294</v>
      </c>
      <c r="K114" s="28"/>
      <c r="L114" s="28" t="s">
        <v>855</v>
      </c>
      <c r="M114" s="28" t="s">
        <v>856</v>
      </c>
      <c r="N114" s="28" t="s">
        <v>857</v>
      </c>
      <c r="O114" s="28" t="s">
        <v>858</v>
      </c>
      <c r="P114" s="28" t="s">
        <v>859</v>
      </c>
      <c r="Q114" s="28" t="s">
        <v>802</v>
      </c>
      <c r="R114" s="30" t="s">
        <v>803</v>
      </c>
      <c r="S114" s="37" t="s">
        <v>1269</v>
      </c>
    </row>
    <row r="115" spans="1:19" ht="46" customHeight="1">
      <c r="A115" s="27" t="s">
        <v>860</v>
      </c>
      <c r="B115" s="28" t="s">
        <v>861</v>
      </c>
      <c r="C115" s="29" t="s">
        <v>862</v>
      </c>
      <c r="D115" s="29" t="s">
        <v>18</v>
      </c>
      <c r="E115" s="28" t="s">
        <v>863</v>
      </c>
      <c r="F115" s="29" t="s">
        <v>6</v>
      </c>
      <c r="G115" s="29" t="s">
        <v>17</v>
      </c>
      <c r="H115" s="28" t="s">
        <v>864</v>
      </c>
      <c r="I115" s="28"/>
      <c r="J115" s="28"/>
      <c r="K115" s="28"/>
      <c r="L115" s="28"/>
      <c r="M115" s="28" t="s">
        <v>865</v>
      </c>
      <c r="N115" s="28"/>
      <c r="O115" s="28"/>
      <c r="P115" s="28"/>
      <c r="Q115" s="28" t="s">
        <v>866</v>
      </c>
      <c r="R115" s="30" t="s">
        <v>867</v>
      </c>
      <c r="S115" s="37" t="s">
        <v>1271</v>
      </c>
    </row>
    <row r="116" spans="1:19" ht="46" customHeight="1">
      <c r="A116" s="27" t="s">
        <v>868</v>
      </c>
      <c r="B116" s="28" t="s">
        <v>869</v>
      </c>
      <c r="C116" s="29" t="s">
        <v>862</v>
      </c>
      <c r="D116" s="29" t="s">
        <v>18</v>
      </c>
      <c r="E116" s="28" t="s">
        <v>863</v>
      </c>
      <c r="F116" s="29" t="s">
        <v>6</v>
      </c>
      <c r="G116" s="29" t="s">
        <v>17</v>
      </c>
      <c r="H116" s="28" t="s">
        <v>864</v>
      </c>
      <c r="I116" s="28"/>
      <c r="J116" s="28"/>
      <c r="K116" s="28"/>
      <c r="L116" s="28"/>
      <c r="M116" s="28" t="s">
        <v>870</v>
      </c>
      <c r="N116" s="28"/>
      <c r="O116" s="28"/>
      <c r="P116" s="28"/>
      <c r="Q116" s="28" t="s">
        <v>866</v>
      </c>
      <c r="R116" s="30" t="s">
        <v>867</v>
      </c>
      <c r="S116" s="37" t="s">
        <v>1271</v>
      </c>
    </row>
    <row r="117" spans="1:19" ht="46" customHeight="1">
      <c r="A117" s="27" t="s">
        <v>871</v>
      </c>
      <c r="B117" s="28" t="s">
        <v>872</v>
      </c>
      <c r="C117" s="29" t="s">
        <v>862</v>
      </c>
      <c r="D117" s="29" t="s">
        <v>18</v>
      </c>
      <c r="E117" s="28" t="s">
        <v>863</v>
      </c>
      <c r="F117" s="29" t="s">
        <v>6</v>
      </c>
      <c r="G117" s="29" t="s">
        <v>17</v>
      </c>
      <c r="H117" s="28" t="s">
        <v>864</v>
      </c>
      <c r="I117" s="28"/>
      <c r="J117" s="28"/>
      <c r="K117" s="28"/>
      <c r="L117" s="28"/>
      <c r="M117" s="28" t="s">
        <v>873</v>
      </c>
      <c r="N117" s="28"/>
      <c r="O117" s="28"/>
      <c r="P117" s="28"/>
      <c r="Q117" s="28" t="s">
        <v>866</v>
      </c>
      <c r="R117" s="30" t="s">
        <v>867</v>
      </c>
      <c r="S117" s="37" t="s">
        <v>1271</v>
      </c>
    </row>
    <row r="118" spans="1:19" ht="46" customHeight="1">
      <c r="A118" s="27" t="s">
        <v>874</v>
      </c>
      <c r="B118" s="28" t="s">
        <v>875</v>
      </c>
      <c r="C118" s="29" t="s">
        <v>862</v>
      </c>
      <c r="D118" s="29" t="s">
        <v>18</v>
      </c>
      <c r="E118" s="28" t="s">
        <v>863</v>
      </c>
      <c r="F118" s="29" t="s">
        <v>5</v>
      </c>
      <c r="G118" s="29" t="s">
        <v>17</v>
      </c>
      <c r="H118" s="28" t="s">
        <v>864</v>
      </c>
      <c r="I118" s="28"/>
      <c r="J118" s="28"/>
      <c r="K118" s="28"/>
      <c r="L118" s="28"/>
      <c r="M118" s="28" t="s">
        <v>876</v>
      </c>
      <c r="N118" s="28"/>
      <c r="O118" s="28"/>
      <c r="P118" s="28"/>
      <c r="Q118" s="28" t="s">
        <v>866</v>
      </c>
      <c r="R118" s="30" t="s">
        <v>867</v>
      </c>
      <c r="S118" s="37" t="s">
        <v>1272</v>
      </c>
    </row>
    <row r="119" spans="1:19" ht="46" customHeight="1">
      <c r="A119" s="27" t="s">
        <v>877</v>
      </c>
      <c r="B119" s="28" t="s">
        <v>878</v>
      </c>
      <c r="C119" s="29" t="s">
        <v>862</v>
      </c>
      <c r="D119" s="29" t="s">
        <v>18</v>
      </c>
      <c r="E119" s="28" t="s">
        <v>863</v>
      </c>
      <c r="F119" s="29" t="s">
        <v>6</v>
      </c>
      <c r="G119" s="29" t="s">
        <v>17</v>
      </c>
      <c r="H119" s="28" t="s">
        <v>864</v>
      </c>
      <c r="I119" s="28"/>
      <c r="J119" s="28"/>
      <c r="K119" s="28"/>
      <c r="L119" s="28"/>
      <c r="M119" s="28" t="s">
        <v>879</v>
      </c>
      <c r="N119" s="28"/>
      <c r="O119" s="28"/>
      <c r="P119" s="28"/>
      <c r="Q119" s="28" t="s">
        <v>866</v>
      </c>
      <c r="R119" s="30" t="s">
        <v>867</v>
      </c>
      <c r="S119" s="37" t="s">
        <v>1272</v>
      </c>
    </row>
    <row r="120" spans="1:19" ht="46" customHeight="1">
      <c r="A120" s="27" t="s">
        <v>880</v>
      </c>
      <c r="B120" s="28" t="s">
        <v>881</v>
      </c>
      <c r="C120" s="29" t="s">
        <v>862</v>
      </c>
      <c r="D120" s="29" t="s">
        <v>18</v>
      </c>
      <c r="E120" s="28" t="s">
        <v>863</v>
      </c>
      <c r="F120" s="29" t="s">
        <v>6</v>
      </c>
      <c r="G120" s="29" t="s">
        <v>17</v>
      </c>
      <c r="H120" s="28" t="s">
        <v>864</v>
      </c>
      <c r="I120" s="28"/>
      <c r="J120" s="28"/>
      <c r="K120" s="28"/>
      <c r="L120" s="28"/>
      <c r="M120" s="28" t="s">
        <v>882</v>
      </c>
      <c r="N120" s="28"/>
      <c r="O120" s="28"/>
      <c r="P120" s="28"/>
      <c r="Q120" s="28" t="s">
        <v>866</v>
      </c>
      <c r="R120" s="30" t="s">
        <v>867</v>
      </c>
      <c r="S120" s="37" t="s">
        <v>1272</v>
      </c>
    </row>
    <row r="121" spans="1:19" ht="46" customHeight="1">
      <c r="A121" s="27" t="s">
        <v>883</v>
      </c>
      <c r="B121" s="28" t="s">
        <v>884</v>
      </c>
      <c r="C121" s="29" t="s">
        <v>862</v>
      </c>
      <c r="D121" s="29" t="s">
        <v>18</v>
      </c>
      <c r="E121" s="28" t="s">
        <v>863</v>
      </c>
      <c r="F121" s="29" t="s">
        <v>6</v>
      </c>
      <c r="G121" s="29" t="s">
        <v>17</v>
      </c>
      <c r="H121" s="28" t="s">
        <v>864</v>
      </c>
      <c r="I121" s="28"/>
      <c r="J121" s="28"/>
      <c r="K121" s="28"/>
      <c r="L121" s="28"/>
      <c r="M121" s="28" t="s">
        <v>885</v>
      </c>
      <c r="N121" s="28"/>
      <c r="O121" s="28"/>
      <c r="P121" s="28"/>
      <c r="Q121" s="28" t="s">
        <v>866</v>
      </c>
      <c r="R121" s="30" t="s">
        <v>867</v>
      </c>
      <c r="S121" s="37" t="s">
        <v>1272</v>
      </c>
    </row>
    <row r="122" spans="1:19" ht="46" customHeight="1">
      <c r="A122" s="27" t="s">
        <v>886</v>
      </c>
      <c r="B122" s="28" t="s">
        <v>887</v>
      </c>
      <c r="C122" s="29" t="s">
        <v>862</v>
      </c>
      <c r="D122" s="29" t="s">
        <v>18</v>
      </c>
      <c r="E122" s="28" t="s">
        <v>863</v>
      </c>
      <c r="F122" s="29" t="s">
        <v>6</v>
      </c>
      <c r="G122" s="29" t="s">
        <v>17</v>
      </c>
      <c r="H122" s="28" t="s">
        <v>864</v>
      </c>
      <c r="I122" s="28"/>
      <c r="J122" s="28"/>
      <c r="K122" s="28"/>
      <c r="L122" s="28"/>
      <c r="M122" s="28" t="s">
        <v>888</v>
      </c>
      <c r="N122" s="28"/>
      <c r="O122" s="28"/>
      <c r="P122" s="28"/>
      <c r="Q122" s="28" t="s">
        <v>866</v>
      </c>
      <c r="R122" s="30" t="s">
        <v>867</v>
      </c>
      <c r="S122" s="37" t="s">
        <v>1272</v>
      </c>
    </row>
    <row r="123" spans="1:19" ht="46" customHeight="1">
      <c r="A123" s="27" t="s">
        <v>889</v>
      </c>
      <c r="B123" s="28" t="s">
        <v>890</v>
      </c>
      <c r="C123" s="29" t="s">
        <v>862</v>
      </c>
      <c r="D123" s="29" t="s">
        <v>18</v>
      </c>
      <c r="E123" s="28" t="s">
        <v>863</v>
      </c>
      <c r="F123" s="29" t="s">
        <v>16</v>
      </c>
      <c r="G123" s="29" t="s">
        <v>17</v>
      </c>
      <c r="H123" s="28" t="s">
        <v>864</v>
      </c>
      <c r="I123" s="28"/>
      <c r="J123" s="28"/>
      <c r="K123" s="28"/>
      <c r="L123" s="28"/>
      <c r="M123" s="28" t="s">
        <v>891</v>
      </c>
      <c r="N123" s="28"/>
      <c r="O123" s="28"/>
      <c r="P123" s="28"/>
      <c r="Q123" s="28" t="s">
        <v>866</v>
      </c>
      <c r="R123" s="30" t="s">
        <v>867</v>
      </c>
      <c r="S123" s="37" t="s">
        <v>1272</v>
      </c>
    </row>
    <row r="124" spans="1:19" ht="46" customHeight="1">
      <c r="A124" s="27" t="s">
        <v>892</v>
      </c>
      <c r="B124" s="28" t="s">
        <v>893</v>
      </c>
      <c r="C124" s="29" t="s">
        <v>862</v>
      </c>
      <c r="D124" s="29" t="s">
        <v>18</v>
      </c>
      <c r="E124" s="28" t="s">
        <v>863</v>
      </c>
      <c r="F124" s="29" t="s">
        <v>16</v>
      </c>
      <c r="G124" s="29" t="s">
        <v>17</v>
      </c>
      <c r="H124" s="28" t="s">
        <v>864</v>
      </c>
      <c r="I124" s="28"/>
      <c r="J124" s="28"/>
      <c r="K124" s="28"/>
      <c r="L124" s="28"/>
      <c r="M124" s="28" t="s">
        <v>894</v>
      </c>
      <c r="N124" s="28"/>
      <c r="O124" s="28"/>
      <c r="P124" s="28"/>
      <c r="Q124" s="28" t="s">
        <v>866</v>
      </c>
      <c r="R124" s="30" t="s">
        <v>867</v>
      </c>
      <c r="S124" s="37" t="s">
        <v>1272</v>
      </c>
    </row>
    <row r="125" spans="1:19" ht="46" customHeight="1">
      <c r="A125" s="27" t="s">
        <v>895</v>
      </c>
      <c r="B125" s="28" t="s">
        <v>896</v>
      </c>
      <c r="C125" s="29" t="s">
        <v>862</v>
      </c>
      <c r="D125" s="29" t="s">
        <v>18</v>
      </c>
      <c r="E125" s="28" t="s">
        <v>863</v>
      </c>
      <c r="F125" s="29" t="s">
        <v>5</v>
      </c>
      <c r="G125" s="29" t="s">
        <v>17</v>
      </c>
      <c r="H125" s="28" t="s">
        <v>864</v>
      </c>
      <c r="I125" s="28"/>
      <c r="J125" s="28"/>
      <c r="K125" s="28"/>
      <c r="L125" s="28"/>
      <c r="M125" s="28" t="s">
        <v>897</v>
      </c>
      <c r="N125" s="28"/>
      <c r="O125" s="28"/>
      <c r="P125" s="28"/>
      <c r="Q125" s="28" t="s">
        <v>866</v>
      </c>
      <c r="R125" s="30" t="s">
        <v>867</v>
      </c>
      <c r="S125" s="37" t="s">
        <v>1272</v>
      </c>
    </row>
    <row r="126" spans="1:19" ht="46" customHeight="1">
      <c r="A126" s="27" t="s">
        <v>898</v>
      </c>
      <c r="B126" s="28" t="s">
        <v>899</v>
      </c>
      <c r="C126" s="29" t="s">
        <v>862</v>
      </c>
      <c r="D126" s="29" t="s">
        <v>18</v>
      </c>
      <c r="E126" s="28" t="s">
        <v>863</v>
      </c>
      <c r="F126" s="29" t="s">
        <v>6</v>
      </c>
      <c r="G126" s="29" t="s">
        <v>17</v>
      </c>
      <c r="H126" s="28" t="s">
        <v>864</v>
      </c>
      <c r="I126" s="28"/>
      <c r="J126" s="28"/>
      <c r="K126" s="28"/>
      <c r="L126" s="28"/>
      <c r="M126" s="28" t="s">
        <v>900</v>
      </c>
      <c r="N126" s="28"/>
      <c r="O126" s="28"/>
      <c r="P126" s="28"/>
      <c r="Q126" s="28" t="s">
        <v>866</v>
      </c>
      <c r="R126" s="30" t="s">
        <v>867</v>
      </c>
      <c r="S126" s="37" t="s">
        <v>1272</v>
      </c>
    </row>
    <row r="127" spans="1:19" ht="46" customHeight="1">
      <c r="A127" s="27" t="s">
        <v>901</v>
      </c>
      <c r="B127" s="28" t="s">
        <v>902</v>
      </c>
      <c r="C127" s="29" t="s">
        <v>862</v>
      </c>
      <c r="D127" s="29" t="s">
        <v>18</v>
      </c>
      <c r="E127" s="28" t="s">
        <v>863</v>
      </c>
      <c r="F127" s="29" t="s">
        <v>16</v>
      </c>
      <c r="G127" s="29" t="s">
        <v>17</v>
      </c>
      <c r="H127" s="28" t="s">
        <v>864</v>
      </c>
      <c r="I127" s="28"/>
      <c r="J127" s="28"/>
      <c r="K127" s="28"/>
      <c r="L127" s="28"/>
      <c r="M127" s="28" t="s">
        <v>903</v>
      </c>
      <c r="N127" s="28"/>
      <c r="O127" s="28"/>
      <c r="P127" s="28"/>
      <c r="Q127" s="28" t="s">
        <v>866</v>
      </c>
      <c r="R127" s="30" t="s">
        <v>867</v>
      </c>
      <c r="S127" s="37" t="s">
        <v>1273</v>
      </c>
    </row>
    <row r="128" spans="1:19" ht="46" customHeight="1">
      <c r="A128" s="27" t="s">
        <v>904</v>
      </c>
      <c r="B128" s="28" t="s">
        <v>905</v>
      </c>
      <c r="C128" s="29" t="s">
        <v>862</v>
      </c>
      <c r="D128" s="29" t="s">
        <v>18</v>
      </c>
      <c r="E128" s="28" t="s">
        <v>863</v>
      </c>
      <c r="F128" s="29" t="s">
        <v>6</v>
      </c>
      <c r="G128" s="29" t="s">
        <v>17</v>
      </c>
      <c r="H128" s="28" t="s">
        <v>864</v>
      </c>
      <c r="I128" s="28"/>
      <c r="J128" s="28"/>
      <c r="K128" s="28"/>
      <c r="L128" s="28"/>
      <c r="M128" s="28" t="s">
        <v>906</v>
      </c>
      <c r="N128" s="28"/>
      <c r="O128" s="28"/>
      <c r="P128" s="28"/>
      <c r="Q128" s="28" t="s">
        <v>866</v>
      </c>
      <c r="R128" s="30" t="s">
        <v>867</v>
      </c>
      <c r="S128" s="37" t="s">
        <v>1263</v>
      </c>
    </row>
    <row r="129" spans="1:19" ht="46" customHeight="1">
      <c r="A129" s="27" t="s">
        <v>907</v>
      </c>
      <c r="B129" s="28" t="s">
        <v>908</v>
      </c>
      <c r="C129" s="29" t="s">
        <v>862</v>
      </c>
      <c r="D129" s="29" t="s">
        <v>18</v>
      </c>
      <c r="E129" s="28" t="s">
        <v>863</v>
      </c>
      <c r="F129" s="29" t="s">
        <v>16</v>
      </c>
      <c r="G129" s="29" t="s">
        <v>17</v>
      </c>
      <c r="H129" s="28" t="s">
        <v>864</v>
      </c>
      <c r="I129" s="28"/>
      <c r="J129" s="28"/>
      <c r="K129" s="28"/>
      <c r="L129" s="28"/>
      <c r="M129" s="28" t="s">
        <v>909</v>
      </c>
      <c r="N129" s="28"/>
      <c r="O129" s="28"/>
      <c r="P129" s="28"/>
      <c r="Q129" s="28" t="s">
        <v>866</v>
      </c>
      <c r="R129" s="30" t="s">
        <v>867</v>
      </c>
      <c r="S129" s="37" t="s">
        <v>1274</v>
      </c>
    </row>
    <row r="130" spans="1:19" ht="46" customHeight="1">
      <c r="A130" s="27" t="s">
        <v>910</v>
      </c>
      <c r="B130" s="28" t="s">
        <v>911</v>
      </c>
      <c r="C130" s="29" t="s">
        <v>862</v>
      </c>
      <c r="D130" s="29" t="s">
        <v>18</v>
      </c>
      <c r="E130" s="28" t="s">
        <v>863</v>
      </c>
      <c r="F130" s="29" t="s">
        <v>6</v>
      </c>
      <c r="G130" s="29" t="s">
        <v>17</v>
      </c>
      <c r="H130" s="28" t="s">
        <v>864</v>
      </c>
      <c r="I130" s="28"/>
      <c r="J130" s="28"/>
      <c r="K130" s="28"/>
      <c r="L130" s="28"/>
      <c r="M130" s="28" t="s">
        <v>912</v>
      </c>
      <c r="N130" s="28"/>
      <c r="O130" s="28"/>
      <c r="P130" s="28"/>
      <c r="Q130" s="28" t="s">
        <v>866</v>
      </c>
      <c r="R130" s="30" t="s">
        <v>867</v>
      </c>
      <c r="S130" s="37" t="s">
        <v>1275</v>
      </c>
    </row>
    <row r="131" spans="1:19" ht="46" customHeight="1">
      <c r="A131" s="27" t="s">
        <v>913</v>
      </c>
      <c r="B131" s="28" t="s">
        <v>914</v>
      </c>
      <c r="C131" s="29" t="s">
        <v>862</v>
      </c>
      <c r="D131" s="29" t="s">
        <v>18</v>
      </c>
      <c r="E131" s="28" t="s">
        <v>863</v>
      </c>
      <c r="F131" s="29" t="s">
        <v>6</v>
      </c>
      <c r="G131" s="29" t="s">
        <v>17</v>
      </c>
      <c r="H131" s="28" t="s">
        <v>864</v>
      </c>
      <c r="I131" s="28"/>
      <c r="J131" s="28"/>
      <c r="K131" s="28"/>
      <c r="L131" s="28"/>
      <c r="M131" s="28" t="s">
        <v>915</v>
      </c>
      <c r="N131" s="28"/>
      <c r="O131" s="28"/>
      <c r="P131" s="28"/>
      <c r="Q131" s="28" t="s">
        <v>866</v>
      </c>
      <c r="R131" s="30" t="s">
        <v>867</v>
      </c>
      <c r="S131" s="37" t="s">
        <v>1276</v>
      </c>
    </row>
    <row r="132" spans="1:19" ht="46" customHeight="1">
      <c r="A132" s="27" t="s">
        <v>916</v>
      </c>
      <c r="B132" s="28" t="s">
        <v>917</v>
      </c>
      <c r="C132" s="29" t="s">
        <v>862</v>
      </c>
      <c r="D132" s="29" t="s">
        <v>18</v>
      </c>
      <c r="E132" s="28" t="s">
        <v>863</v>
      </c>
      <c r="F132" s="29" t="s">
        <v>6</v>
      </c>
      <c r="G132" s="29" t="s">
        <v>17</v>
      </c>
      <c r="H132" s="28" t="s">
        <v>864</v>
      </c>
      <c r="I132" s="28"/>
      <c r="J132" s="28"/>
      <c r="K132" s="28"/>
      <c r="L132" s="28"/>
      <c r="M132" s="28" t="s">
        <v>918</v>
      </c>
      <c r="N132" s="28"/>
      <c r="O132" s="28"/>
      <c r="P132" s="28"/>
      <c r="Q132" s="28" t="s">
        <v>866</v>
      </c>
      <c r="R132" s="30" t="s">
        <v>867</v>
      </c>
      <c r="S132" s="37" t="s">
        <v>1277</v>
      </c>
    </row>
    <row r="133" spans="1:19" ht="46" customHeight="1">
      <c r="A133" s="27" t="s">
        <v>919</v>
      </c>
      <c r="B133" s="28" t="s">
        <v>920</v>
      </c>
      <c r="C133" s="29" t="s">
        <v>862</v>
      </c>
      <c r="D133" s="29" t="s">
        <v>18</v>
      </c>
      <c r="E133" s="28" t="s">
        <v>863</v>
      </c>
      <c r="F133" s="29" t="s">
        <v>16</v>
      </c>
      <c r="G133" s="29" t="s">
        <v>17</v>
      </c>
      <c r="H133" s="28" t="s">
        <v>864</v>
      </c>
      <c r="I133" s="28"/>
      <c r="J133" s="28"/>
      <c r="K133" s="28"/>
      <c r="L133" s="28"/>
      <c r="M133" s="28" t="s">
        <v>921</v>
      </c>
      <c r="N133" s="28"/>
      <c r="O133" s="28"/>
      <c r="P133" s="28"/>
      <c r="Q133" s="28" t="s">
        <v>866</v>
      </c>
      <c r="R133" s="30" t="s">
        <v>867</v>
      </c>
      <c r="S133" s="37" t="s">
        <v>1278</v>
      </c>
    </row>
    <row r="134" spans="1:19" ht="46" customHeight="1">
      <c r="A134" s="27" t="s">
        <v>922</v>
      </c>
      <c r="B134" s="28" t="s">
        <v>923</v>
      </c>
      <c r="C134" s="29" t="s">
        <v>862</v>
      </c>
      <c r="D134" s="29" t="s">
        <v>18</v>
      </c>
      <c r="E134" s="28" t="s">
        <v>863</v>
      </c>
      <c r="F134" s="29" t="s">
        <v>16</v>
      </c>
      <c r="G134" s="29" t="s">
        <v>17</v>
      </c>
      <c r="H134" s="28" t="s">
        <v>864</v>
      </c>
      <c r="I134" s="28"/>
      <c r="J134" s="28"/>
      <c r="K134" s="28"/>
      <c r="L134" s="28"/>
      <c r="M134" s="28" t="s">
        <v>924</v>
      </c>
      <c r="N134" s="28"/>
      <c r="O134" s="28"/>
      <c r="P134" s="28"/>
      <c r="Q134" s="28" t="s">
        <v>866</v>
      </c>
      <c r="R134" s="30" t="s">
        <v>867</v>
      </c>
      <c r="S134" s="37" t="s">
        <v>1279</v>
      </c>
    </row>
    <row r="135" spans="1:19" ht="46" customHeight="1">
      <c r="A135" s="27" t="s">
        <v>925</v>
      </c>
      <c r="B135" s="28" t="s">
        <v>926</v>
      </c>
      <c r="C135" s="29" t="s">
        <v>862</v>
      </c>
      <c r="D135" s="29" t="s">
        <v>18</v>
      </c>
      <c r="E135" s="28" t="s">
        <v>863</v>
      </c>
      <c r="F135" s="29" t="s">
        <v>6</v>
      </c>
      <c r="G135" s="29" t="s">
        <v>17</v>
      </c>
      <c r="H135" s="28" t="s">
        <v>864</v>
      </c>
      <c r="I135" s="28"/>
      <c r="J135" s="28"/>
      <c r="K135" s="28"/>
      <c r="L135" s="28"/>
      <c r="M135" s="28" t="s">
        <v>927</v>
      </c>
      <c r="N135" s="28"/>
      <c r="O135" s="28"/>
      <c r="P135" s="28"/>
      <c r="Q135" s="28" t="s">
        <v>866</v>
      </c>
      <c r="R135" s="30" t="s">
        <v>867</v>
      </c>
      <c r="S135" s="37" t="s">
        <v>1280</v>
      </c>
    </row>
    <row r="136" spans="1:19" ht="46" customHeight="1">
      <c r="A136" s="27" t="s">
        <v>928</v>
      </c>
      <c r="B136" s="28" t="s">
        <v>929</v>
      </c>
      <c r="C136" s="29" t="s">
        <v>862</v>
      </c>
      <c r="D136" s="29" t="s">
        <v>18</v>
      </c>
      <c r="E136" s="28" t="s">
        <v>863</v>
      </c>
      <c r="F136" s="29" t="s">
        <v>16</v>
      </c>
      <c r="G136" s="29" t="s">
        <v>17</v>
      </c>
      <c r="H136" s="28" t="s">
        <v>864</v>
      </c>
      <c r="I136" s="28"/>
      <c r="J136" s="28"/>
      <c r="K136" s="28"/>
      <c r="L136" s="28"/>
      <c r="M136" s="28" t="s">
        <v>930</v>
      </c>
      <c r="N136" s="28"/>
      <c r="O136" s="28"/>
      <c r="P136" s="28"/>
      <c r="Q136" s="28" t="s">
        <v>866</v>
      </c>
      <c r="R136" s="30" t="s">
        <v>867</v>
      </c>
      <c r="S136" s="37" t="s">
        <v>1281</v>
      </c>
    </row>
    <row r="137" spans="1:19" ht="46" customHeight="1">
      <c r="A137" s="27" t="s">
        <v>931</v>
      </c>
      <c r="B137" s="28" t="s">
        <v>932</v>
      </c>
      <c r="C137" s="29" t="s">
        <v>862</v>
      </c>
      <c r="D137" s="29" t="s">
        <v>18</v>
      </c>
      <c r="E137" s="28" t="s">
        <v>863</v>
      </c>
      <c r="F137" s="29" t="s">
        <v>16</v>
      </c>
      <c r="G137" s="29" t="s">
        <v>17</v>
      </c>
      <c r="H137" s="28" t="s">
        <v>864</v>
      </c>
      <c r="I137" s="28"/>
      <c r="J137" s="28"/>
      <c r="K137" s="28"/>
      <c r="L137" s="28"/>
      <c r="M137" s="28" t="s">
        <v>933</v>
      </c>
      <c r="N137" s="28"/>
      <c r="O137" s="28"/>
      <c r="P137" s="28"/>
      <c r="Q137" s="28" t="s">
        <v>866</v>
      </c>
      <c r="R137" s="30" t="s">
        <v>867</v>
      </c>
      <c r="S137" s="37" t="s">
        <v>1280</v>
      </c>
    </row>
    <row r="138" spans="1:19" ht="46" customHeight="1">
      <c r="A138" s="27" t="s">
        <v>934</v>
      </c>
      <c r="B138" s="28" t="s">
        <v>935</v>
      </c>
      <c r="C138" s="29" t="s">
        <v>862</v>
      </c>
      <c r="D138" s="29" t="s">
        <v>18</v>
      </c>
      <c r="E138" s="28" t="s">
        <v>863</v>
      </c>
      <c r="F138" s="29" t="s">
        <v>19</v>
      </c>
      <c r="G138" s="29" t="s">
        <v>17</v>
      </c>
      <c r="H138" s="28" t="s">
        <v>864</v>
      </c>
      <c r="I138" s="28"/>
      <c r="J138" s="28"/>
      <c r="K138" s="28"/>
      <c r="L138" s="28"/>
      <c r="M138" s="28" t="s">
        <v>936</v>
      </c>
      <c r="N138" s="28"/>
      <c r="O138" s="28"/>
      <c r="P138" s="28"/>
      <c r="Q138" s="28" t="s">
        <v>866</v>
      </c>
      <c r="R138" s="30" t="s">
        <v>867</v>
      </c>
      <c r="S138" s="37" t="s">
        <v>1281</v>
      </c>
    </row>
    <row r="139" spans="1:19" ht="46" customHeight="1">
      <c r="A139" s="27" t="s">
        <v>937</v>
      </c>
      <c r="B139" s="28" t="s">
        <v>938</v>
      </c>
      <c r="C139" s="29" t="s">
        <v>862</v>
      </c>
      <c r="D139" s="29" t="s">
        <v>18</v>
      </c>
      <c r="E139" s="28" t="s">
        <v>863</v>
      </c>
      <c r="F139" s="29" t="s">
        <v>6</v>
      </c>
      <c r="G139" s="29" t="s">
        <v>17</v>
      </c>
      <c r="H139" s="28" t="s">
        <v>864</v>
      </c>
      <c r="I139" s="28"/>
      <c r="J139" s="28"/>
      <c r="K139" s="28"/>
      <c r="L139" s="28"/>
      <c r="M139" s="28" t="s">
        <v>939</v>
      </c>
      <c r="N139" s="28"/>
      <c r="O139" s="28"/>
      <c r="P139" s="28"/>
      <c r="Q139" s="28" t="s">
        <v>866</v>
      </c>
      <c r="R139" s="30" t="s">
        <v>867</v>
      </c>
      <c r="S139" s="37" t="s">
        <v>1282</v>
      </c>
    </row>
    <row r="140" spans="1:19" ht="46" customHeight="1">
      <c r="A140" s="27" t="s">
        <v>940</v>
      </c>
      <c r="B140" s="28" t="s">
        <v>941</v>
      </c>
      <c r="C140" s="29" t="s">
        <v>862</v>
      </c>
      <c r="D140" s="29" t="s">
        <v>18</v>
      </c>
      <c r="E140" s="28" t="s">
        <v>863</v>
      </c>
      <c r="F140" s="29" t="s">
        <v>16</v>
      </c>
      <c r="G140" s="29" t="s">
        <v>17</v>
      </c>
      <c r="H140" s="28" t="s">
        <v>864</v>
      </c>
      <c r="I140" s="28"/>
      <c r="J140" s="28"/>
      <c r="K140" s="28"/>
      <c r="L140" s="28"/>
      <c r="M140" s="28" t="s">
        <v>942</v>
      </c>
      <c r="N140" s="28"/>
      <c r="O140" s="28"/>
      <c r="P140" s="28"/>
      <c r="Q140" s="28" t="s">
        <v>866</v>
      </c>
      <c r="R140" s="30" t="s">
        <v>867</v>
      </c>
      <c r="S140" s="37" t="s">
        <v>1283</v>
      </c>
    </row>
    <row r="141" spans="1:19" ht="46" customHeight="1">
      <c r="A141" s="27" t="s">
        <v>943</v>
      </c>
      <c r="B141" s="28" t="s">
        <v>944</v>
      </c>
      <c r="C141" s="29" t="s">
        <v>862</v>
      </c>
      <c r="D141" s="29" t="s">
        <v>18</v>
      </c>
      <c r="E141" s="28" t="s">
        <v>863</v>
      </c>
      <c r="F141" s="29" t="s">
        <v>6</v>
      </c>
      <c r="G141" s="29" t="s">
        <v>17</v>
      </c>
      <c r="H141" s="28" t="s">
        <v>864</v>
      </c>
      <c r="I141" s="28"/>
      <c r="J141" s="28"/>
      <c r="K141" s="28"/>
      <c r="L141" s="28"/>
      <c r="M141" s="28" t="s">
        <v>945</v>
      </c>
      <c r="N141" s="28"/>
      <c r="O141" s="28"/>
      <c r="P141" s="28"/>
      <c r="Q141" s="28" t="s">
        <v>866</v>
      </c>
      <c r="R141" s="30" t="s">
        <v>867</v>
      </c>
      <c r="S141" s="37" t="s">
        <v>1282</v>
      </c>
    </row>
    <row r="142" spans="1:19" ht="46" customHeight="1">
      <c r="A142" s="27" t="s">
        <v>946</v>
      </c>
      <c r="B142" s="28" t="s">
        <v>947</v>
      </c>
      <c r="C142" s="29" t="s">
        <v>862</v>
      </c>
      <c r="D142" s="29" t="s">
        <v>18</v>
      </c>
      <c r="E142" s="28" t="s">
        <v>863</v>
      </c>
      <c r="F142" s="29" t="s">
        <v>6</v>
      </c>
      <c r="G142" s="29" t="s">
        <v>17</v>
      </c>
      <c r="H142" s="28" t="s">
        <v>864</v>
      </c>
      <c r="I142" s="28"/>
      <c r="J142" s="28"/>
      <c r="K142" s="28"/>
      <c r="L142" s="28"/>
      <c r="M142" s="28" t="s">
        <v>948</v>
      </c>
      <c r="N142" s="28"/>
      <c r="O142" s="28"/>
      <c r="P142" s="28"/>
      <c r="Q142" s="28" t="s">
        <v>866</v>
      </c>
      <c r="R142" s="30" t="s">
        <v>867</v>
      </c>
      <c r="S142" s="37" t="s">
        <v>1284</v>
      </c>
    </row>
    <row r="143" spans="1:19" ht="46" customHeight="1">
      <c r="A143" s="27" t="s">
        <v>949</v>
      </c>
      <c r="B143" s="28" t="s">
        <v>950</v>
      </c>
      <c r="C143" s="29" t="s">
        <v>862</v>
      </c>
      <c r="D143" s="29" t="s">
        <v>18</v>
      </c>
      <c r="E143" s="28" t="s">
        <v>863</v>
      </c>
      <c r="F143" s="29" t="s">
        <v>16</v>
      </c>
      <c r="G143" s="29" t="s">
        <v>17</v>
      </c>
      <c r="H143" s="28" t="s">
        <v>864</v>
      </c>
      <c r="I143" s="28"/>
      <c r="J143" s="28"/>
      <c r="K143" s="28"/>
      <c r="L143" s="28"/>
      <c r="M143" s="28" t="s">
        <v>951</v>
      </c>
      <c r="N143" s="28"/>
      <c r="O143" s="28"/>
      <c r="P143" s="28"/>
      <c r="Q143" s="28" t="s">
        <v>866</v>
      </c>
      <c r="R143" s="30" t="s">
        <v>867</v>
      </c>
      <c r="S143" s="37" t="s">
        <v>1285</v>
      </c>
    </row>
    <row r="144" spans="1:19" ht="46" customHeight="1">
      <c r="A144" s="27" t="s">
        <v>952</v>
      </c>
      <c r="B144" s="28" t="s">
        <v>953</v>
      </c>
      <c r="C144" s="29" t="s">
        <v>862</v>
      </c>
      <c r="D144" s="29" t="s">
        <v>18</v>
      </c>
      <c r="E144" s="28" t="s">
        <v>863</v>
      </c>
      <c r="F144" s="29" t="s">
        <v>16</v>
      </c>
      <c r="G144" s="29" t="s">
        <v>17</v>
      </c>
      <c r="H144" s="28" t="s">
        <v>864</v>
      </c>
      <c r="I144" s="28"/>
      <c r="J144" s="28"/>
      <c r="K144" s="28"/>
      <c r="L144" s="28"/>
      <c r="M144" s="28" t="s">
        <v>954</v>
      </c>
      <c r="N144" s="28"/>
      <c r="O144" s="28"/>
      <c r="P144" s="28"/>
      <c r="Q144" s="28" t="s">
        <v>866</v>
      </c>
      <c r="R144" s="30" t="s">
        <v>867</v>
      </c>
      <c r="S144" s="37" t="s">
        <v>1286</v>
      </c>
    </row>
    <row r="145" spans="1:19" ht="46" customHeight="1">
      <c r="A145" s="27" t="s">
        <v>955</v>
      </c>
      <c r="B145" s="28" t="s">
        <v>956</v>
      </c>
      <c r="C145" s="29" t="s">
        <v>862</v>
      </c>
      <c r="D145" s="29" t="s">
        <v>18</v>
      </c>
      <c r="E145" s="28" t="s">
        <v>863</v>
      </c>
      <c r="F145" s="29" t="s">
        <v>6</v>
      </c>
      <c r="G145" s="29" t="s">
        <v>17</v>
      </c>
      <c r="H145" s="28" t="s">
        <v>864</v>
      </c>
      <c r="I145" s="28"/>
      <c r="J145" s="28"/>
      <c r="K145" s="28"/>
      <c r="L145" s="28"/>
      <c r="M145" s="28" t="s">
        <v>957</v>
      </c>
      <c r="N145" s="28"/>
      <c r="O145" s="28"/>
      <c r="P145" s="28"/>
      <c r="Q145" s="28" t="s">
        <v>866</v>
      </c>
      <c r="R145" s="30" t="s">
        <v>867</v>
      </c>
      <c r="S145" s="37" t="s">
        <v>1271</v>
      </c>
    </row>
    <row r="146" spans="1:19" ht="46" customHeight="1">
      <c r="A146" s="27" t="s">
        <v>958</v>
      </c>
      <c r="B146" s="28" t="s">
        <v>959</v>
      </c>
      <c r="C146" s="29" t="s">
        <v>862</v>
      </c>
      <c r="D146" s="29" t="s">
        <v>18</v>
      </c>
      <c r="E146" s="28" t="s">
        <v>863</v>
      </c>
      <c r="F146" s="29" t="s">
        <v>6</v>
      </c>
      <c r="G146" s="29" t="s">
        <v>17</v>
      </c>
      <c r="H146" s="28" t="s">
        <v>864</v>
      </c>
      <c r="I146" s="28"/>
      <c r="J146" s="28"/>
      <c r="K146" s="28"/>
      <c r="L146" s="28"/>
      <c r="M146" s="28" t="s">
        <v>960</v>
      </c>
      <c r="N146" s="28"/>
      <c r="O146" s="28"/>
      <c r="P146" s="28"/>
      <c r="Q146" s="28" t="s">
        <v>866</v>
      </c>
      <c r="R146" s="30" t="s">
        <v>867</v>
      </c>
      <c r="S146" s="37" t="s">
        <v>1271</v>
      </c>
    </row>
    <row r="147" spans="1:19" ht="46" customHeight="1">
      <c r="A147" s="27" t="s">
        <v>961</v>
      </c>
      <c r="B147" s="28" t="s">
        <v>962</v>
      </c>
      <c r="C147" s="29" t="s">
        <v>862</v>
      </c>
      <c r="D147" s="29" t="s">
        <v>18</v>
      </c>
      <c r="E147" s="28" t="s">
        <v>863</v>
      </c>
      <c r="F147" s="29" t="s">
        <v>6</v>
      </c>
      <c r="G147" s="29" t="s">
        <v>17</v>
      </c>
      <c r="H147" s="28" t="s">
        <v>864</v>
      </c>
      <c r="I147" s="28"/>
      <c r="J147" s="28"/>
      <c r="K147" s="28"/>
      <c r="L147" s="28"/>
      <c r="M147" s="28" t="s">
        <v>963</v>
      </c>
      <c r="N147" s="28"/>
      <c r="O147" s="28"/>
      <c r="P147" s="28"/>
      <c r="Q147" s="28" t="s">
        <v>866</v>
      </c>
      <c r="R147" s="30" t="s">
        <v>867</v>
      </c>
      <c r="S147" s="37" t="s">
        <v>1287</v>
      </c>
    </row>
    <row r="148" spans="1:19" ht="46" customHeight="1">
      <c r="A148" s="27" t="s">
        <v>964</v>
      </c>
      <c r="B148" s="28" t="s">
        <v>965</v>
      </c>
      <c r="C148" s="29" t="s">
        <v>862</v>
      </c>
      <c r="D148" s="29" t="s">
        <v>18</v>
      </c>
      <c r="E148" s="28" t="s">
        <v>863</v>
      </c>
      <c r="F148" s="29" t="s">
        <v>16</v>
      </c>
      <c r="G148" s="29" t="s">
        <v>17</v>
      </c>
      <c r="H148" s="28" t="s">
        <v>864</v>
      </c>
      <c r="I148" s="28"/>
      <c r="J148" s="28"/>
      <c r="K148" s="28"/>
      <c r="L148" s="28"/>
      <c r="M148" s="28" t="s">
        <v>966</v>
      </c>
      <c r="N148" s="28"/>
      <c r="O148" s="28"/>
      <c r="P148" s="28"/>
      <c r="Q148" s="28" t="s">
        <v>866</v>
      </c>
      <c r="R148" s="30" t="s">
        <v>867</v>
      </c>
      <c r="S148" s="37" t="s">
        <v>1271</v>
      </c>
    </row>
    <row r="149" spans="1:19" ht="46" customHeight="1">
      <c r="A149" s="27" t="s">
        <v>967</v>
      </c>
      <c r="B149" s="28" t="s">
        <v>968</v>
      </c>
      <c r="C149" s="29" t="s">
        <v>862</v>
      </c>
      <c r="D149" s="29" t="s">
        <v>18</v>
      </c>
      <c r="E149" s="28" t="s">
        <v>863</v>
      </c>
      <c r="F149" s="29" t="s">
        <v>5</v>
      </c>
      <c r="G149" s="29" t="s">
        <v>17</v>
      </c>
      <c r="H149" s="28" t="s">
        <v>864</v>
      </c>
      <c r="I149" s="28"/>
      <c r="J149" s="28"/>
      <c r="K149" s="28"/>
      <c r="L149" s="28"/>
      <c r="M149" s="28" t="s">
        <v>969</v>
      </c>
      <c r="N149" s="28"/>
      <c r="O149" s="28"/>
      <c r="P149" s="28"/>
      <c r="Q149" s="28" t="s">
        <v>866</v>
      </c>
      <c r="R149" s="30" t="s">
        <v>867</v>
      </c>
      <c r="S149" s="37" t="s">
        <v>1288</v>
      </c>
    </row>
    <row r="150" spans="1:19" ht="46" customHeight="1">
      <c r="A150" s="27" t="s">
        <v>970</v>
      </c>
      <c r="B150" s="28" t="s">
        <v>971</v>
      </c>
      <c r="C150" s="29" t="s">
        <v>862</v>
      </c>
      <c r="D150" s="29" t="s">
        <v>18</v>
      </c>
      <c r="E150" s="28" t="s">
        <v>863</v>
      </c>
      <c r="F150" s="29" t="s">
        <v>6</v>
      </c>
      <c r="G150" s="29" t="s">
        <v>17</v>
      </c>
      <c r="H150" s="28" t="s">
        <v>864</v>
      </c>
      <c r="I150" s="28"/>
      <c r="J150" s="28"/>
      <c r="K150" s="28"/>
      <c r="L150" s="28"/>
      <c r="M150" s="28" t="s">
        <v>972</v>
      </c>
      <c r="N150" s="28"/>
      <c r="O150" s="28"/>
      <c r="P150" s="28"/>
      <c r="Q150" s="28" t="s">
        <v>866</v>
      </c>
      <c r="R150" s="30" t="s">
        <v>867</v>
      </c>
      <c r="S150" s="37" t="s">
        <v>1289</v>
      </c>
    </row>
    <row r="151" spans="1:19" ht="46" customHeight="1">
      <c r="A151" s="27" t="s">
        <v>973</v>
      </c>
      <c r="B151" s="28" t="s">
        <v>974</v>
      </c>
      <c r="C151" s="29" t="s">
        <v>862</v>
      </c>
      <c r="D151" s="29" t="s">
        <v>18</v>
      </c>
      <c r="E151" s="28" t="s">
        <v>863</v>
      </c>
      <c r="F151" s="29" t="s">
        <v>16</v>
      </c>
      <c r="G151" s="29" t="s">
        <v>17</v>
      </c>
      <c r="H151" s="28" t="s">
        <v>864</v>
      </c>
      <c r="I151" s="28"/>
      <c r="J151" s="28"/>
      <c r="K151" s="28"/>
      <c r="L151" s="28"/>
      <c r="M151" s="28" t="s">
        <v>975</v>
      </c>
      <c r="N151" s="28"/>
      <c r="O151" s="28"/>
      <c r="P151" s="28"/>
      <c r="Q151" s="28" t="s">
        <v>866</v>
      </c>
      <c r="R151" s="30" t="s">
        <v>867</v>
      </c>
      <c r="S151" s="37" t="s">
        <v>1289</v>
      </c>
    </row>
    <row r="152" spans="1:19" ht="46" customHeight="1">
      <c r="A152" s="27" t="s">
        <v>976</v>
      </c>
      <c r="B152" s="28" t="s">
        <v>977</v>
      </c>
      <c r="C152" s="29" t="s">
        <v>862</v>
      </c>
      <c r="D152" s="29" t="s">
        <v>18</v>
      </c>
      <c r="E152" s="28" t="s">
        <v>863</v>
      </c>
      <c r="F152" s="29" t="s">
        <v>6</v>
      </c>
      <c r="G152" s="29" t="s">
        <v>17</v>
      </c>
      <c r="H152" s="28" t="s">
        <v>864</v>
      </c>
      <c r="I152" s="28"/>
      <c r="J152" s="28"/>
      <c r="K152" s="28"/>
      <c r="L152" s="28"/>
      <c r="M152" s="28" t="s">
        <v>978</v>
      </c>
      <c r="N152" s="28"/>
      <c r="O152" s="28"/>
      <c r="P152" s="28"/>
      <c r="Q152" s="28" t="s">
        <v>866</v>
      </c>
      <c r="R152" s="30" t="s">
        <v>867</v>
      </c>
      <c r="S152" s="37" t="s">
        <v>1290</v>
      </c>
    </row>
    <row r="153" spans="1:19" ht="46" customHeight="1">
      <c r="A153" s="27" t="s">
        <v>979</v>
      </c>
      <c r="B153" s="28" t="s">
        <v>980</v>
      </c>
      <c r="C153" s="29" t="s">
        <v>862</v>
      </c>
      <c r="D153" s="29" t="s">
        <v>18</v>
      </c>
      <c r="E153" s="28" t="s">
        <v>863</v>
      </c>
      <c r="F153" s="29" t="s">
        <v>19</v>
      </c>
      <c r="G153" s="29" t="s">
        <v>17</v>
      </c>
      <c r="H153" s="28" t="s">
        <v>864</v>
      </c>
      <c r="I153" s="28"/>
      <c r="J153" s="28"/>
      <c r="K153" s="28"/>
      <c r="L153" s="28"/>
      <c r="M153" s="28" t="s">
        <v>981</v>
      </c>
      <c r="N153" s="28"/>
      <c r="O153" s="28"/>
      <c r="P153" s="28"/>
      <c r="Q153" s="28" t="s">
        <v>866</v>
      </c>
      <c r="R153" s="30" t="s">
        <v>867</v>
      </c>
      <c r="S153" s="37" t="s">
        <v>1281</v>
      </c>
    </row>
    <row r="154" spans="1:19" ht="46" customHeight="1">
      <c r="A154" s="27" t="s">
        <v>982</v>
      </c>
      <c r="B154" s="28" t="s">
        <v>983</v>
      </c>
      <c r="C154" s="29" t="s">
        <v>862</v>
      </c>
      <c r="D154" s="29" t="s">
        <v>18</v>
      </c>
      <c r="E154" s="28" t="s">
        <v>863</v>
      </c>
      <c r="F154" s="29" t="s">
        <v>16</v>
      </c>
      <c r="G154" s="29" t="s">
        <v>17</v>
      </c>
      <c r="H154" s="28" t="s">
        <v>864</v>
      </c>
      <c r="I154" s="28"/>
      <c r="J154" s="28"/>
      <c r="K154" s="28"/>
      <c r="L154" s="28"/>
      <c r="M154" s="28" t="s">
        <v>984</v>
      </c>
      <c r="N154" s="28"/>
      <c r="O154" s="28"/>
      <c r="P154" s="28"/>
      <c r="Q154" s="28" t="s">
        <v>866</v>
      </c>
      <c r="R154" s="30" t="s">
        <v>867</v>
      </c>
      <c r="S154" s="37" t="s">
        <v>1291</v>
      </c>
    </row>
    <row r="155" spans="1:19" ht="46" customHeight="1">
      <c r="A155" s="27" t="s">
        <v>985</v>
      </c>
      <c r="B155" s="28" t="s">
        <v>986</v>
      </c>
      <c r="C155" s="29" t="s">
        <v>862</v>
      </c>
      <c r="D155" s="29" t="s">
        <v>18</v>
      </c>
      <c r="E155" s="28" t="s">
        <v>863</v>
      </c>
      <c r="F155" s="29" t="s">
        <v>6</v>
      </c>
      <c r="G155" s="29" t="s">
        <v>17</v>
      </c>
      <c r="H155" s="28" t="s">
        <v>864</v>
      </c>
      <c r="I155" s="28"/>
      <c r="J155" s="28"/>
      <c r="K155" s="28"/>
      <c r="L155" s="28"/>
      <c r="M155" s="28" t="s">
        <v>987</v>
      </c>
      <c r="N155" s="28"/>
      <c r="O155" s="28"/>
      <c r="P155" s="28"/>
      <c r="Q155" s="28" t="s">
        <v>866</v>
      </c>
      <c r="R155" s="30" t="s">
        <v>867</v>
      </c>
      <c r="S155" s="37" t="s">
        <v>1263</v>
      </c>
    </row>
    <row r="156" spans="1:19" ht="46" customHeight="1">
      <c r="A156" s="27" t="s">
        <v>988</v>
      </c>
      <c r="B156" s="28" t="s">
        <v>989</v>
      </c>
      <c r="C156" s="29" t="s">
        <v>862</v>
      </c>
      <c r="D156" s="29" t="s">
        <v>18</v>
      </c>
      <c r="E156" s="28" t="s">
        <v>863</v>
      </c>
      <c r="F156" s="29" t="s">
        <v>5</v>
      </c>
      <c r="G156" s="29" t="s">
        <v>17</v>
      </c>
      <c r="H156" s="28" t="s">
        <v>864</v>
      </c>
      <c r="I156" s="28"/>
      <c r="J156" s="28"/>
      <c r="K156" s="28"/>
      <c r="L156" s="28"/>
      <c r="M156" s="28" t="s">
        <v>990</v>
      </c>
      <c r="N156" s="28"/>
      <c r="O156" s="28"/>
      <c r="P156" s="28"/>
      <c r="Q156" s="28" t="s">
        <v>866</v>
      </c>
      <c r="R156" s="30" t="s">
        <v>867</v>
      </c>
      <c r="S156" s="37" t="s">
        <v>1292</v>
      </c>
    </row>
    <row r="157" spans="1:19" ht="46" customHeight="1">
      <c r="A157" s="27" t="s">
        <v>991</v>
      </c>
      <c r="B157" s="28" t="s">
        <v>992</v>
      </c>
      <c r="C157" s="29" t="s">
        <v>862</v>
      </c>
      <c r="D157" s="29" t="s">
        <v>18</v>
      </c>
      <c r="E157" s="28" t="s">
        <v>863</v>
      </c>
      <c r="F157" s="29" t="s">
        <v>6</v>
      </c>
      <c r="G157" s="29" t="s">
        <v>17</v>
      </c>
      <c r="H157" s="28" t="s">
        <v>864</v>
      </c>
      <c r="I157" s="28"/>
      <c r="J157" s="28"/>
      <c r="K157" s="28"/>
      <c r="L157" s="28"/>
      <c r="M157" s="28" t="s">
        <v>993</v>
      </c>
      <c r="N157" s="28"/>
      <c r="O157" s="28"/>
      <c r="P157" s="28"/>
      <c r="Q157" s="28" t="s">
        <v>866</v>
      </c>
      <c r="R157" s="30" t="s">
        <v>867</v>
      </c>
      <c r="S157" s="37" t="s">
        <v>1293</v>
      </c>
    </row>
    <row r="158" spans="1:19" ht="46" customHeight="1">
      <c r="A158" s="27" t="s">
        <v>994</v>
      </c>
      <c r="B158" s="28" t="s">
        <v>995</v>
      </c>
      <c r="C158" s="29" t="s">
        <v>862</v>
      </c>
      <c r="D158" s="29" t="s">
        <v>18</v>
      </c>
      <c r="E158" s="28" t="s">
        <v>863</v>
      </c>
      <c r="F158" s="29" t="s">
        <v>19</v>
      </c>
      <c r="G158" s="29" t="s">
        <v>17</v>
      </c>
      <c r="H158" s="28" t="s">
        <v>864</v>
      </c>
      <c r="I158" s="28"/>
      <c r="J158" s="28"/>
      <c r="K158" s="28"/>
      <c r="L158" s="28"/>
      <c r="M158" s="28" t="s">
        <v>996</v>
      </c>
      <c r="N158" s="28"/>
      <c r="O158" s="28"/>
      <c r="P158" s="28"/>
      <c r="Q158" s="28" t="s">
        <v>866</v>
      </c>
      <c r="R158" s="30" t="s">
        <v>867</v>
      </c>
      <c r="S158" s="37" t="s">
        <v>1294</v>
      </c>
    </row>
    <row r="159" spans="1:19" ht="46" customHeight="1">
      <c r="A159" s="27" t="s">
        <v>997</v>
      </c>
      <c r="B159" s="28" t="s">
        <v>998</v>
      </c>
      <c r="C159" s="29" t="s">
        <v>862</v>
      </c>
      <c r="D159" s="29" t="s">
        <v>18</v>
      </c>
      <c r="E159" s="28" t="s">
        <v>863</v>
      </c>
      <c r="F159" s="29" t="s">
        <v>6</v>
      </c>
      <c r="G159" s="29" t="s">
        <v>17</v>
      </c>
      <c r="H159" s="28" t="s">
        <v>864</v>
      </c>
      <c r="I159" s="28"/>
      <c r="J159" s="28"/>
      <c r="K159" s="28"/>
      <c r="L159" s="28"/>
      <c r="M159" s="28" t="s">
        <v>999</v>
      </c>
      <c r="N159" s="28"/>
      <c r="O159" s="28"/>
      <c r="P159" s="28"/>
      <c r="Q159" s="28" t="s">
        <v>866</v>
      </c>
      <c r="R159" s="30" t="s">
        <v>867</v>
      </c>
      <c r="S159" s="37" t="s">
        <v>1294</v>
      </c>
    </row>
    <row r="160" spans="1:19" ht="46" customHeight="1">
      <c r="A160" s="27" t="s">
        <v>1000</v>
      </c>
      <c r="B160" s="28" t="s">
        <v>1001</v>
      </c>
      <c r="C160" s="29" t="s">
        <v>862</v>
      </c>
      <c r="D160" s="29" t="s">
        <v>18</v>
      </c>
      <c r="E160" s="28" t="s">
        <v>863</v>
      </c>
      <c r="F160" s="29" t="s">
        <v>6</v>
      </c>
      <c r="G160" s="29" t="s">
        <v>17</v>
      </c>
      <c r="H160" s="28" t="s">
        <v>864</v>
      </c>
      <c r="I160" s="28"/>
      <c r="J160" s="28"/>
      <c r="K160" s="28"/>
      <c r="L160" s="28"/>
      <c r="M160" s="28" t="s">
        <v>1002</v>
      </c>
      <c r="N160" s="28"/>
      <c r="O160" s="28"/>
      <c r="P160" s="28"/>
      <c r="Q160" s="28" t="s">
        <v>866</v>
      </c>
      <c r="R160" s="30" t="s">
        <v>867</v>
      </c>
      <c r="S160" s="37" t="s">
        <v>1295</v>
      </c>
    </row>
    <row r="161" spans="1:19" ht="46" customHeight="1">
      <c r="A161" s="27" t="s">
        <v>1003</v>
      </c>
      <c r="B161" s="28" t="s">
        <v>1004</v>
      </c>
      <c r="C161" s="29" t="s">
        <v>862</v>
      </c>
      <c r="D161" s="29" t="s">
        <v>18</v>
      </c>
      <c r="E161" s="28" t="s">
        <v>863</v>
      </c>
      <c r="F161" s="29" t="s">
        <v>6</v>
      </c>
      <c r="G161" s="29" t="s">
        <v>17</v>
      </c>
      <c r="H161" s="28" t="s">
        <v>864</v>
      </c>
      <c r="I161" s="28"/>
      <c r="J161" s="28"/>
      <c r="K161" s="28"/>
      <c r="L161" s="28"/>
      <c r="M161" s="28" t="s">
        <v>1005</v>
      </c>
      <c r="N161" s="28"/>
      <c r="O161" s="28"/>
      <c r="P161" s="28"/>
      <c r="Q161" s="28" t="s">
        <v>866</v>
      </c>
      <c r="R161" s="30" t="s">
        <v>867</v>
      </c>
      <c r="S161" s="37" t="s">
        <v>1294</v>
      </c>
    </row>
    <row r="162" spans="1:19" ht="46" customHeight="1">
      <c r="A162" s="27" t="s">
        <v>1006</v>
      </c>
      <c r="B162" s="28" t="s">
        <v>1007</v>
      </c>
      <c r="C162" s="29" t="s">
        <v>862</v>
      </c>
      <c r="D162" s="29" t="s">
        <v>18</v>
      </c>
      <c r="E162" s="28" t="s">
        <v>863</v>
      </c>
      <c r="F162" s="29" t="s">
        <v>16</v>
      </c>
      <c r="G162" s="29" t="s">
        <v>17</v>
      </c>
      <c r="H162" s="28" t="s">
        <v>864</v>
      </c>
      <c r="I162" s="28"/>
      <c r="J162" s="28"/>
      <c r="K162" s="28"/>
      <c r="L162" s="28"/>
      <c r="M162" s="28" t="s">
        <v>1008</v>
      </c>
      <c r="N162" s="28"/>
      <c r="O162" s="28"/>
      <c r="P162" s="28"/>
      <c r="Q162" s="28" t="s">
        <v>866</v>
      </c>
      <c r="R162" s="30" t="s">
        <v>867</v>
      </c>
      <c r="S162" s="37" t="s">
        <v>1294</v>
      </c>
    </row>
    <row r="163" spans="1:19" ht="46" customHeight="1">
      <c r="A163" s="27" t="s">
        <v>1009</v>
      </c>
      <c r="B163" s="28" t="s">
        <v>1010</v>
      </c>
      <c r="C163" s="29" t="s">
        <v>862</v>
      </c>
      <c r="D163" s="29" t="s">
        <v>18</v>
      </c>
      <c r="E163" s="28" t="s">
        <v>863</v>
      </c>
      <c r="F163" s="29" t="s">
        <v>6</v>
      </c>
      <c r="G163" s="29" t="s">
        <v>17</v>
      </c>
      <c r="H163" s="28" t="s">
        <v>864</v>
      </c>
      <c r="I163" s="28"/>
      <c r="J163" s="28"/>
      <c r="K163" s="28"/>
      <c r="L163" s="28"/>
      <c r="M163" s="28" t="s">
        <v>1011</v>
      </c>
      <c r="N163" s="28"/>
      <c r="O163" s="28"/>
      <c r="P163" s="28"/>
      <c r="Q163" s="28" t="s">
        <v>866</v>
      </c>
      <c r="R163" s="30" t="s">
        <v>867</v>
      </c>
      <c r="S163" s="37" t="s">
        <v>1294</v>
      </c>
    </row>
    <row r="164" spans="1:19" ht="46" customHeight="1">
      <c r="A164" s="27" t="s">
        <v>1012</v>
      </c>
      <c r="B164" s="28" t="s">
        <v>1013</v>
      </c>
      <c r="C164" s="29" t="s">
        <v>862</v>
      </c>
      <c r="D164" s="29" t="s">
        <v>18</v>
      </c>
      <c r="E164" s="28" t="s">
        <v>863</v>
      </c>
      <c r="F164" s="29" t="s">
        <v>6</v>
      </c>
      <c r="G164" s="29" t="s">
        <v>17</v>
      </c>
      <c r="H164" s="28" t="s">
        <v>864</v>
      </c>
      <c r="I164" s="28"/>
      <c r="J164" s="28"/>
      <c r="K164" s="28"/>
      <c r="L164" s="28"/>
      <c r="M164" s="28" t="s">
        <v>1014</v>
      </c>
      <c r="N164" s="28"/>
      <c r="O164" s="28"/>
      <c r="P164" s="28"/>
      <c r="Q164" s="28" t="s">
        <v>866</v>
      </c>
      <c r="R164" s="30" t="s">
        <v>867</v>
      </c>
      <c r="S164" s="37" t="s">
        <v>1296</v>
      </c>
    </row>
    <row r="165" spans="1:19" ht="46" customHeight="1">
      <c r="A165" s="27" t="s">
        <v>1015</v>
      </c>
      <c r="B165" s="28" t="s">
        <v>1016</v>
      </c>
      <c r="C165" s="29" t="s">
        <v>862</v>
      </c>
      <c r="D165" s="29" t="s">
        <v>18</v>
      </c>
      <c r="E165" s="28" t="s">
        <v>863</v>
      </c>
      <c r="F165" s="29" t="s">
        <v>6</v>
      </c>
      <c r="G165" s="29" t="s">
        <v>17</v>
      </c>
      <c r="H165" s="28" t="s">
        <v>864</v>
      </c>
      <c r="I165" s="28"/>
      <c r="J165" s="28"/>
      <c r="K165" s="28"/>
      <c r="L165" s="28"/>
      <c r="M165" s="28" t="s">
        <v>1017</v>
      </c>
      <c r="N165" s="28"/>
      <c r="O165" s="28"/>
      <c r="P165" s="28"/>
      <c r="Q165" s="28" t="s">
        <v>866</v>
      </c>
      <c r="R165" s="30" t="s">
        <v>867</v>
      </c>
      <c r="S165" s="37" t="s">
        <v>1297</v>
      </c>
    </row>
    <row r="166" spans="1:19" ht="46" customHeight="1">
      <c r="A166" s="27" t="s">
        <v>1018</v>
      </c>
      <c r="B166" s="28" t="s">
        <v>1019</v>
      </c>
      <c r="C166" s="29" t="s">
        <v>862</v>
      </c>
      <c r="D166" s="29" t="s">
        <v>18</v>
      </c>
      <c r="E166" s="28" t="s">
        <v>863</v>
      </c>
      <c r="F166" s="29" t="s">
        <v>16</v>
      </c>
      <c r="G166" s="29" t="s">
        <v>17</v>
      </c>
      <c r="H166" s="28" t="s">
        <v>864</v>
      </c>
      <c r="I166" s="28"/>
      <c r="J166" s="28"/>
      <c r="K166" s="28"/>
      <c r="L166" s="28"/>
      <c r="M166" s="28" t="s">
        <v>1020</v>
      </c>
      <c r="N166" s="28"/>
      <c r="O166" s="28"/>
      <c r="P166" s="28"/>
      <c r="Q166" s="28" t="s">
        <v>866</v>
      </c>
      <c r="R166" s="30" t="s">
        <v>867</v>
      </c>
      <c r="S166" s="37" t="s">
        <v>1296</v>
      </c>
    </row>
    <row r="167" spans="1:19" ht="46" customHeight="1">
      <c r="A167" s="27" t="s">
        <v>1021</v>
      </c>
      <c r="B167" s="28" t="s">
        <v>1022</v>
      </c>
      <c r="C167" s="29" t="s">
        <v>862</v>
      </c>
      <c r="D167" s="29" t="s">
        <v>18</v>
      </c>
      <c r="E167" s="28" t="s">
        <v>863</v>
      </c>
      <c r="F167" s="29" t="s">
        <v>6</v>
      </c>
      <c r="G167" s="29" t="s">
        <v>17</v>
      </c>
      <c r="H167" s="28" t="s">
        <v>864</v>
      </c>
      <c r="I167" s="28"/>
      <c r="J167" s="28"/>
      <c r="K167" s="28"/>
      <c r="L167" s="28"/>
      <c r="M167" s="28" t="s">
        <v>1023</v>
      </c>
      <c r="N167" s="28"/>
      <c r="O167" s="28"/>
      <c r="P167" s="28"/>
      <c r="Q167" s="28" t="s">
        <v>866</v>
      </c>
      <c r="R167" s="30" t="s">
        <v>867</v>
      </c>
      <c r="S167" s="37" t="s">
        <v>1298</v>
      </c>
    </row>
    <row r="168" spans="1:19" ht="46" customHeight="1">
      <c r="A168" s="27" t="s">
        <v>1024</v>
      </c>
      <c r="B168" s="28" t="s">
        <v>1025</v>
      </c>
      <c r="C168" s="29" t="s">
        <v>862</v>
      </c>
      <c r="D168" s="29" t="s">
        <v>18</v>
      </c>
      <c r="E168" s="28" t="s">
        <v>863</v>
      </c>
      <c r="F168" s="29" t="s">
        <v>6</v>
      </c>
      <c r="G168" s="29" t="s">
        <v>17</v>
      </c>
      <c r="H168" s="28" t="s">
        <v>864</v>
      </c>
      <c r="I168" s="28"/>
      <c r="J168" s="28"/>
      <c r="K168" s="28"/>
      <c r="L168" s="28"/>
      <c r="M168" s="28" t="s">
        <v>1026</v>
      </c>
      <c r="N168" s="28"/>
      <c r="O168" s="28"/>
      <c r="P168" s="28"/>
      <c r="Q168" s="28" t="s">
        <v>866</v>
      </c>
      <c r="R168" s="30" t="s">
        <v>867</v>
      </c>
      <c r="S168" s="37" t="s">
        <v>1299</v>
      </c>
    </row>
    <row r="169" spans="1:19" ht="46" customHeight="1">
      <c r="A169" s="27" t="s">
        <v>1027</v>
      </c>
      <c r="B169" s="28" t="s">
        <v>1028</v>
      </c>
      <c r="C169" s="29" t="s">
        <v>862</v>
      </c>
      <c r="D169" s="29" t="s">
        <v>18</v>
      </c>
      <c r="E169" s="28" t="s">
        <v>863</v>
      </c>
      <c r="F169" s="29" t="s">
        <v>16</v>
      </c>
      <c r="G169" s="29" t="s">
        <v>17</v>
      </c>
      <c r="H169" s="28" t="s">
        <v>864</v>
      </c>
      <c r="I169" s="28"/>
      <c r="J169" s="28"/>
      <c r="K169" s="28"/>
      <c r="L169" s="28"/>
      <c r="M169" s="28" t="s">
        <v>1029</v>
      </c>
      <c r="N169" s="28"/>
      <c r="O169" s="28"/>
      <c r="P169" s="28"/>
      <c r="Q169" s="28" t="s">
        <v>866</v>
      </c>
      <c r="R169" s="30" t="s">
        <v>867</v>
      </c>
      <c r="S169" s="37" t="s">
        <v>1299</v>
      </c>
    </row>
    <row r="170" spans="1:19" ht="46" customHeight="1">
      <c r="A170" s="27" t="s">
        <v>1030</v>
      </c>
      <c r="B170" s="28" t="s">
        <v>1031</v>
      </c>
      <c r="C170" s="29" t="s">
        <v>862</v>
      </c>
      <c r="D170" s="29" t="s">
        <v>18</v>
      </c>
      <c r="E170" s="28" t="s">
        <v>863</v>
      </c>
      <c r="F170" s="29" t="s">
        <v>16</v>
      </c>
      <c r="G170" s="29" t="s">
        <v>17</v>
      </c>
      <c r="H170" s="28" t="s">
        <v>864</v>
      </c>
      <c r="I170" s="28"/>
      <c r="J170" s="28"/>
      <c r="K170" s="28"/>
      <c r="L170" s="28"/>
      <c r="M170" s="28" t="s">
        <v>1032</v>
      </c>
      <c r="N170" s="28"/>
      <c r="O170" s="28"/>
      <c r="P170" s="28"/>
      <c r="Q170" s="28" t="s">
        <v>866</v>
      </c>
      <c r="R170" s="30" t="s">
        <v>867</v>
      </c>
      <c r="S170" s="37" t="s">
        <v>1300</v>
      </c>
    </row>
    <row r="171" spans="1:19" ht="46" customHeight="1">
      <c r="A171" s="27" t="s">
        <v>1033</v>
      </c>
      <c r="B171" s="28" t="s">
        <v>1034</v>
      </c>
      <c r="C171" s="29" t="s">
        <v>862</v>
      </c>
      <c r="D171" s="29" t="s">
        <v>18</v>
      </c>
      <c r="E171" s="28" t="s">
        <v>863</v>
      </c>
      <c r="F171" s="29" t="s">
        <v>16</v>
      </c>
      <c r="G171" s="29" t="s">
        <v>17</v>
      </c>
      <c r="H171" s="28" t="s">
        <v>864</v>
      </c>
      <c r="I171" s="28"/>
      <c r="J171" s="28"/>
      <c r="K171" s="28"/>
      <c r="L171" s="28"/>
      <c r="M171" s="28" t="s">
        <v>1035</v>
      </c>
      <c r="N171" s="28"/>
      <c r="O171" s="28"/>
      <c r="P171" s="28"/>
      <c r="Q171" s="28" t="s">
        <v>866</v>
      </c>
      <c r="R171" s="30" t="s">
        <v>867</v>
      </c>
      <c r="S171" s="37" t="s">
        <v>1301</v>
      </c>
    </row>
    <row r="172" spans="1:19" ht="46" customHeight="1">
      <c r="A172" s="27" t="s">
        <v>1036</v>
      </c>
      <c r="B172" s="28" t="s">
        <v>1037</v>
      </c>
      <c r="C172" s="29" t="s">
        <v>862</v>
      </c>
      <c r="D172" s="29" t="s">
        <v>18</v>
      </c>
      <c r="E172" s="28" t="s">
        <v>863</v>
      </c>
      <c r="F172" s="29" t="s">
        <v>6</v>
      </c>
      <c r="G172" s="29" t="s">
        <v>17</v>
      </c>
      <c r="H172" s="28" t="s">
        <v>864</v>
      </c>
      <c r="I172" s="28"/>
      <c r="J172" s="28"/>
      <c r="K172" s="28"/>
      <c r="L172" s="28"/>
      <c r="M172" s="28" t="s">
        <v>1038</v>
      </c>
      <c r="N172" s="28"/>
      <c r="O172" s="28"/>
      <c r="P172" s="28"/>
      <c r="Q172" s="28" t="s">
        <v>866</v>
      </c>
      <c r="R172" s="30" t="s">
        <v>867</v>
      </c>
      <c r="S172" s="37" t="s">
        <v>1301</v>
      </c>
    </row>
    <row r="173" spans="1:19" ht="46" customHeight="1">
      <c r="A173" s="27" t="s">
        <v>1039</v>
      </c>
      <c r="B173" s="28" t="s">
        <v>1040</v>
      </c>
      <c r="C173" s="29" t="s">
        <v>862</v>
      </c>
      <c r="D173" s="29" t="s">
        <v>18</v>
      </c>
      <c r="E173" s="28" t="s">
        <v>863</v>
      </c>
      <c r="F173" s="29" t="s">
        <v>16</v>
      </c>
      <c r="G173" s="29" t="s">
        <v>17</v>
      </c>
      <c r="H173" s="28" t="s">
        <v>864</v>
      </c>
      <c r="I173" s="28"/>
      <c r="J173" s="28"/>
      <c r="K173" s="28"/>
      <c r="L173" s="28"/>
      <c r="M173" s="28" t="s">
        <v>1041</v>
      </c>
      <c r="N173" s="28"/>
      <c r="O173" s="28"/>
      <c r="P173" s="28"/>
      <c r="Q173" s="28" t="s">
        <v>866</v>
      </c>
      <c r="R173" s="30" t="s">
        <v>867</v>
      </c>
      <c r="S173" s="37" t="s">
        <v>1301</v>
      </c>
    </row>
    <row r="174" spans="1:19" ht="46" customHeight="1">
      <c r="A174" s="27" t="s">
        <v>1042</v>
      </c>
      <c r="B174" s="28" t="s">
        <v>1043</v>
      </c>
      <c r="C174" s="29" t="s">
        <v>862</v>
      </c>
      <c r="D174" s="29" t="s">
        <v>18</v>
      </c>
      <c r="E174" s="28" t="s">
        <v>863</v>
      </c>
      <c r="F174" s="29" t="s">
        <v>6</v>
      </c>
      <c r="G174" s="29" t="s">
        <v>17</v>
      </c>
      <c r="H174" s="28" t="s">
        <v>864</v>
      </c>
      <c r="I174" s="28"/>
      <c r="J174" s="28"/>
      <c r="K174" s="28"/>
      <c r="L174" s="28"/>
      <c r="M174" s="28" t="s">
        <v>1044</v>
      </c>
      <c r="N174" s="28"/>
      <c r="O174" s="28"/>
      <c r="P174" s="28"/>
      <c r="Q174" s="28" t="s">
        <v>866</v>
      </c>
      <c r="R174" s="30" t="s">
        <v>867</v>
      </c>
      <c r="S174" s="37" t="s">
        <v>1272</v>
      </c>
    </row>
    <row r="175" spans="1:19" ht="46" customHeight="1">
      <c r="A175" s="27" t="s">
        <v>1045</v>
      </c>
      <c r="B175" s="28" t="s">
        <v>1046</v>
      </c>
      <c r="C175" s="29" t="s">
        <v>862</v>
      </c>
      <c r="D175" s="29" t="s">
        <v>18</v>
      </c>
      <c r="E175" s="28" t="s">
        <v>863</v>
      </c>
      <c r="F175" s="29" t="s">
        <v>16</v>
      </c>
      <c r="G175" s="29" t="s">
        <v>17</v>
      </c>
      <c r="H175" s="28" t="s">
        <v>864</v>
      </c>
      <c r="I175" s="28"/>
      <c r="J175" s="28"/>
      <c r="K175" s="28"/>
      <c r="L175" s="28"/>
      <c r="M175" s="28" t="s">
        <v>1047</v>
      </c>
      <c r="N175" s="28"/>
      <c r="O175" s="28"/>
      <c r="P175" s="28"/>
      <c r="Q175" s="28" t="s">
        <v>866</v>
      </c>
      <c r="R175" s="30" t="s">
        <v>867</v>
      </c>
      <c r="S175" s="37" t="s">
        <v>1272</v>
      </c>
    </row>
    <row r="176" spans="1:19" ht="46" customHeight="1">
      <c r="A176" s="27" t="s">
        <v>1048</v>
      </c>
      <c r="B176" s="28" t="s">
        <v>1049</v>
      </c>
      <c r="C176" s="29" t="s">
        <v>862</v>
      </c>
      <c r="D176" s="29" t="s">
        <v>18</v>
      </c>
      <c r="E176" s="28" t="s">
        <v>863</v>
      </c>
      <c r="F176" s="29" t="s">
        <v>5</v>
      </c>
      <c r="G176" s="29" t="s">
        <v>17</v>
      </c>
      <c r="H176" s="28" t="s">
        <v>864</v>
      </c>
      <c r="I176" s="28"/>
      <c r="J176" s="28"/>
      <c r="K176" s="28"/>
      <c r="L176" s="28"/>
      <c r="M176" s="28" t="s">
        <v>1050</v>
      </c>
      <c r="N176" s="28"/>
      <c r="O176" s="28"/>
      <c r="P176" s="28"/>
      <c r="Q176" s="28" t="s">
        <v>866</v>
      </c>
      <c r="R176" s="30" t="s">
        <v>867</v>
      </c>
      <c r="S176" s="37" t="s">
        <v>1302</v>
      </c>
    </row>
    <row r="177" spans="1:19" ht="46" customHeight="1">
      <c r="A177" s="27" t="s">
        <v>1051</v>
      </c>
      <c r="B177" s="28" t="s">
        <v>1052</v>
      </c>
      <c r="C177" s="29" t="s">
        <v>862</v>
      </c>
      <c r="D177" s="29" t="s">
        <v>18</v>
      </c>
      <c r="E177" s="28" t="s">
        <v>863</v>
      </c>
      <c r="F177" s="29" t="s">
        <v>6</v>
      </c>
      <c r="G177" s="29" t="s">
        <v>17</v>
      </c>
      <c r="H177" s="28" t="s">
        <v>864</v>
      </c>
      <c r="I177" s="28"/>
      <c r="J177" s="28"/>
      <c r="K177" s="28"/>
      <c r="L177" s="28"/>
      <c r="M177" s="28" t="s">
        <v>1053</v>
      </c>
      <c r="N177" s="28"/>
      <c r="O177" s="28"/>
      <c r="P177" s="28"/>
      <c r="Q177" s="28" t="s">
        <v>866</v>
      </c>
      <c r="R177" s="30" t="s">
        <v>867</v>
      </c>
      <c r="S177" s="37" t="s">
        <v>1303</v>
      </c>
    </row>
    <row r="178" spans="1:19" ht="46" customHeight="1">
      <c r="A178" s="27" t="s">
        <v>1054</v>
      </c>
      <c r="B178" s="28" t="s">
        <v>1055</v>
      </c>
      <c r="C178" s="29" t="s">
        <v>862</v>
      </c>
      <c r="D178" s="29" t="s">
        <v>18</v>
      </c>
      <c r="E178" s="28" t="s">
        <v>863</v>
      </c>
      <c r="F178" s="29" t="s">
        <v>5</v>
      </c>
      <c r="G178" s="29" t="s">
        <v>17</v>
      </c>
      <c r="H178" s="28" t="s">
        <v>864</v>
      </c>
      <c r="I178" s="28"/>
      <c r="J178" s="28"/>
      <c r="K178" s="28"/>
      <c r="L178" s="28"/>
      <c r="M178" s="28" t="s">
        <v>1056</v>
      </c>
      <c r="N178" s="28"/>
      <c r="O178" s="28"/>
      <c r="P178" s="28"/>
      <c r="Q178" s="28" t="s">
        <v>866</v>
      </c>
      <c r="R178" s="30" t="s">
        <v>867</v>
      </c>
      <c r="S178" s="37" t="s">
        <v>1272</v>
      </c>
    </row>
    <row r="179" spans="1:19" ht="46" customHeight="1">
      <c r="A179" s="27" t="s">
        <v>1057</v>
      </c>
      <c r="B179" s="28" t="s">
        <v>1058</v>
      </c>
      <c r="C179" s="29" t="s">
        <v>862</v>
      </c>
      <c r="D179" s="29" t="s">
        <v>18</v>
      </c>
      <c r="E179" s="28" t="s">
        <v>863</v>
      </c>
      <c r="F179" s="29" t="s">
        <v>5</v>
      </c>
      <c r="G179" s="29" t="s">
        <v>17</v>
      </c>
      <c r="H179" s="28" t="s">
        <v>864</v>
      </c>
      <c r="I179" s="28"/>
      <c r="J179" s="28"/>
      <c r="K179" s="28"/>
      <c r="L179" s="28"/>
      <c r="M179" s="28" t="s">
        <v>1059</v>
      </c>
      <c r="N179" s="28"/>
      <c r="O179" s="28"/>
      <c r="P179" s="28"/>
      <c r="Q179" s="28" t="s">
        <v>866</v>
      </c>
      <c r="R179" s="30" t="s">
        <v>867</v>
      </c>
      <c r="S179" s="37" t="s">
        <v>1304</v>
      </c>
    </row>
    <row r="180" spans="1:19" ht="46" customHeight="1">
      <c r="A180" s="27" t="s">
        <v>1060</v>
      </c>
      <c r="B180" s="28" t="s">
        <v>1061</v>
      </c>
      <c r="C180" s="29" t="s">
        <v>862</v>
      </c>
      <c r="D180" s="29" t="s">
        <v>18</v>
      </c>
      <c r="E180" s="28" t="s">
        <v>863</v>
      </c>
      <c r="F180" s="29" t="s">
        <v>5</v>
      </c>
      <c r="G180" s="29" t="s">
        <v>17</v>
      </c>
      <c r="H180" s="28" t="s">
        <v>864</v>
      </c>
      <c r="I180" s="28"/>
      <c r="J180" s="28"/>
      <c r="K180" s="28"/>
      <c r="L180" s="28"/>
      <c r="M180" s="28" t="s">
        <v>1062</v>
      </c>
      <c r="N180" s="28"/>
      <c r="O180" s="28"/>
      <c r="P180" s="28"/>
      <c r="Q180" s="28" t="s">
        <v>866</v>
      </c>
      <c r="R180" s="30" t="s">
        <v>867</v>
      </c>
      <c r="S180" s="37" t="s">
        <v>1304</v>
      </c>
    </row>
    <row r="181" spans="1:19" ht="46" customHeight="1">
      <c r="A181" s="27" t="s">
        <v>1063</v>
      </c>
      <c r="B181" s="28" t="s">
        <v>1064</v>
      </c>
      <c r="C181" s="29" t="s">
        <v>862</v>
      </c>
      <c r="D181" s="29" t="s">
        <v>18</v>
      </c>
      <c r="E181" s="28" t="s">
        <v>863</v>
      </c>
      <c r="F181" s="29" t="s">
        <v>6</v>
      </c>
      <c r="G181" s="29" t="s">
        <v>17</v>
      </c>
      <c r="H181" s="28" t="s">
        <v>864</v>
      </c>
      <c r="I181" s="28"/>
      <c r="J181" s="28"/>
      <c r="K181" s="28"/>
      <c r="L181" s="28"/>
      <c r="M181" s="28" t="s">
        <v>1065</v>
      </c>
      <c r="N181" s="28"/>
      <c r="O181" s="28"/>
      <c r="P181" s="28"/>
      <c r="Q181" s="28" t="s">
        <v>866</v>
      </c>
      <c r="R181" s="30" t="s">
        <v>867</v>
      </c>
      <c r="S181" s="37" t="s">
        <v>1304</v>
      </c>
    </row>
    <row r="182" spans="1:19" ht="46" customHeight="1">
      <c r="A182" s="27" t="s">
        <v>1066</v>
      </c>
      <c r="B182" s="28" t="s">
        <v>1067</v>
      </c>
      <c r="C182" s="29" t="s">
        <v>862</v>
      </c>
      <c r="D182" s="29" t="s">
        <v>18</v>
      </c>
      <c r="E182" s="28" t="s">
        <v>863</v>
      </c>
      <c r="F182" s="29" t="s">
        <v>6</v>
      </c>
      <c r="G182" s="29" t="s">
        <v>17</v>
      </c>
      <c r="H182" s="28" t="s">
        <v>864</v>
      </c>
      <c r="I182" s="28"/>
      <c r="J182" s="28"/>
      <c r="K182" s="28"/>
      <c r="L182" s="28"/>
      <c r="M182" s="28" t="s">
        <v>1068</v>
      </c>
      <c r="N182" s="28"/>
      <c r="O182" s="28"/>
      <c r="P182" s="28"/>
      <c r="Q182" s="28" t="s">
        <v>866</v>
      </c>
      <c r="R182" s="30" t="s">
        <v>867</v>
      </c>
      <c r="S182" s="37" t="s">
        <v>1304</v>
      </c>
    </row>
  </sheetData>
  <conditionalFormatting sqref="C2:C182">
    <cfRule type="containsText" dxfId="23" priority="5" operator="containsText" text="skillspector"/>
  </conditionalFormatting>
  <conditionalFormatting sqref="F2:F182">
    <cfRule type="containsText" dxfId="22" priority="1" operator="containsText" text="Critical"/>
    <cfRule type="containsText" dxfId="21" priority="2" operator="containsText" text="High"/>
    <cfRule type="containsText" dxfId="20" priority="3" operator="containsText" text="Medium"/>
    <cfRule type="containsText" dxfId="19" priority="4" operator="containsText" text="Low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/>
  </sheetViews>
  <sheetFormatPr defaultRowHeight="14"/>
  <cols>
    <col min="1" max="1" width="22.9140625" customWidth="1"/>
    <col min="2" max="2" width="27.75" customWidth="1"/>
    <col min="3" max="3" width="37.08203125" customWidth="1"/>
    <col min="4" max="4" width="46.58203125" customWidth="1"/>
  </cols>
  <sheetData>
    <row r="1" spans="1:4">
      <c r="A1" s="25" t="s">
        <v>1069</v>
      </c>
      <c r="B1" s="25" t="s">
        <v>1070</v>
      </c>
      <c r="C1" s="25" t="s">
        <v>1071</v>
      </c>
      <c r="D1" s="25" t="s">
        <v>1072</v>
      </c>
    </row>
    <row r="2" spans="1:4" ht="28">
      <c r="A2" s="24" t="s">
        <v>57</v>
      </c>
      <c r="B2" s="24" t="s">
        <v>1073</v>
      </c>
      <c r="C2" s="24" t="s">
        <v>1074</v>
      </c>
      <c r="D2" s="24" t="s">
        <v>1075</v>
      </c>
    </row>
    <row r="3" spans="1:4" ht="28">
      <c r="A3" s="24" t="s">
        <v>1076</v>
      </c>
      <c r="B3" s="24" t="s">
        <v>1077</v>
      </c>
      <c r="C3" s="24" t="s">
        <v>1078</v>
      </c>
      <c r="D3" s="24" t="s">
        <v>1079</v>
      </c>
    </row>
    <row r="4" spans="1:4" ht="28">
      <c r="A4" s="24" t="s">
        <v>1080</v>
      </c>
      <c r="B4" s="24" t="s">
        <v>1081</v>
      </c>
      <c r="C4" s="24" t="s">
        <v>1082</v>
      </c>
      <c r="D4" s="24" t="s">
        <v>1083</v>
      </c>
    </row>
    <row r="5" spans="1:4" ht="28">
      <c r="A5" s="24" t="s">
        <v>176</v>
      </c>
      <c r="B5" s="24" t="s">
        <v>1084</v>
      </c>
      <c r="C5" s="24" t="s">
        <v>1085</v>
      </c>
      <c r="D5" s="24" t="s">
        <v>1086</v>
      </c>
    </row>
    <row r="6" spans="1:4" ht="28">
      <c r="A6" s="24" t="s">
        <v>1087</v>
      </c>
      <c r="B6" s="24" t="s">
        <v>1088</v>
      </c>
      <c r="C6" s="24" t="s">
        <v>1089</v>
      </c>
      <c r="D6" s="24" t="s">
        <v>1090</v>
      </c>
    </row>
    <row r="7" spans="1:4" ht="28">
      <c r="A7" s="24" t="s">
        <v>335</v>
      </c>
      <c r="B7" s="24" t="s">
        <v>1091</v>
      </c>
      <c r="C7" s="24" t="s">
        <v>1092</v>
      </c>
      <c r="D7" s="24" t="s">
        <v>1093</v>
      </c>
    </row>
    <row r="8" spans="1:4" ht="28">
      <c r="A8" s="24" t="s">
        <v>363</v>
      </c>
      <c r="B8" s="24" t="s">
        <v>1094</v>
      </c>
      <c r="C8" s="24" t="s">
        <v>1095</v>
      </c>
      <c r="D8" s="24" t="s">
        <v>1096</v>
      </c>
    </row>
    <row r="9" spans="1:4">
      <c r="A9" s="24" t="s">
        <v>1097</v>
      </c>
      <c r="B9" s="24" t="s">
        <v>1098</v>
      </c>
      <c r="C9" s="24" t="s">
        <v>1099</v>
      </c>
      <c r="D9" s="24" t="s">
        <v>1100</v>
      </c>
    </row>
    <row r="10" spans="1:4">
      <c r="A10" s="24" t="s">
        <v>1101</v>
      </c>
      <c r="B10" s="24" t="s">
        <v>1102</v>
      </c>
      <c r="C10" s="24" t="s">
        <v>1103</v>
      </c>
      <c r="D10" s="24" t="s">
        <v>1104</v>
      </c>
    </row>
    <row r="11" spans="1:4">
      <c r="A11" s="24" t="s">
        <v>1105</v>
      </c>
      <c r="B11" s="24" t="s">
        <v>1106</v>
      </c>
      <c r="C11" s="24" t="s">
        <v>1107</v>
      </c>
      <c r="D11" s="24" t="s">
        <v>1108</v>
      </c>
    </row>
    <row r="12" spans="1:4" ht="28">
      <c r="A12" s="24" t="s">
        <v>1109</v>
      </c>
      <c r="B12" s="24" t="s">
        <v>1110</v>
      </c>
      <c r="C12" s="24" t="s">
        <v>1111</v>
      </c>
      <c r="D12" s="24" t="s">
        <v>1112</v>
      </c>
    </row>
    <row r="13" spans="1:4" ht="28">
      <c r="A13" s="24" t="s">
        <v>1113</v>
      </c>
      <c r="B13" s="24" t="s">
        <v>1114</v>
      </c>
      <c r="C13" s="24" t="s">
        <v>1115</v>
      </c>
      <c r="D13" s="24" t="s">
        <v>1116</v>
      </c>
    </row>
    <row r="14" spans="1:4" ht="28">
      <c r="A14" s="24" t="s">
        <v>1117</v>
      </c>
      <c r="B14" s="24" t="s">
        <v>1118</v>
      </c>
      <c r="C14" s="24" t="s">
        <v>1119</v>
      </c>
      <c r="D14" s="24" t="s">
        <v>1120</v>
      </c>
    </row>
    <row r="15" spans="1:4" ht="28">
      <c r="A15" s="24" t="s">
        <v>1121</v>
      </c>
      <c r="B15" s="24" t="s">
        <v>1122</v>
      </c>
      <c r="C15" s="24" t="s">
        <v>1123</v>
      </c>
      <c r="D15" s="24" t="s">
        <v>1124</v>
      </c>
    </row>
    <row r="16" spans="1:4" ht="42">
      <c r="A16" s="24" t="s">
        <v>1125</v>
      </c>
      <c r="B16" s="24" t="s">
        <v>1126</v>
      </c>
      <c r="C16" s="24" t="s">
        <v>1127</v>
      </c>
      <c r="D16" s="24" t="s">
        <v>1128</v>
      </c>
    </row>
    <row r="17" spans="1:4" ht="28">
      <c r="A17" s="24" t="s">
        <v>1129</v>
      </c>
      <c r="B17" s="24" t="s">
        <v>1130</v>
      </c>
      <c r="C17" s="24" t="s">
        <v>1131</v>
      </c>
      <c r="D17" s="24" t="s">
        <v>1132</v>
      </c>
    </row>
    <row r="18" spans="1:4" ht="28">
      <c r="A18" s="24" t="s">
        <v>1133</v>
      </c>
      <c r="B18" s="24" t="s">
        <v>1134</v>
      </c>
      <c r="C18" s="24" t="s">
        <v>1135</v>
      </c>
      <c r="D18" s="24" t="s">
        <v>1136</v>
      </c>
    </row>
    <row r="19" spans="1:4" ht="28">
      <c r="A19" s="24" t="s">
        <v>1137</v>
      </c>
      <c r="B19" s="24" t="s">
        <v>1138</v>
      </c>
      <c r="C19" s="24" t="s">
        <v>1139</v>
      </c>
      <c r="D19" s="24" t="s">
        <v>1140</v>
      </c>
    </row>
    <row r="20" spans="1:4">
      <c r="A20" s="24" t="s">
        <v>1141</v>
      </c>
      <c r="B20" s="24" t="s">
        <v>1142</v>
      </c>
      <c r="C20" s="24" t="s">
        <v>1143</v>
      </c>
      <c r="D20" s="24" t="s">
        <v>1144</v>
      </c>
    </row>
    <row r="21" spans="1:4" ht="28">
      <c r="A21" s="24" t="s">
        <v>1145</v>
      </c>
      <c r="B21" s="24" t="s">
        <v>1146</v>
      </c>
      <c r="C21" s="24" t="s">
        <v>1147</v>
      </c>
      <c r="D21" s="24" t="s">
        <v>1148</v>
      </c>
    </row>
    <row r="22" spans="1:4" ht="28">
      <c r="A22" s="24" t="s">
        <v>1149</v>
      </c>
      <c r="B22" s="24" t="s">
        <v>1150</v>
      </c>
      <c r="C22" s="24" t="s">
        <v>1151</v>
      </c>
      <c r="D22" s="24" t="s">
        <v>1152</v>
      </c>
    </row>
    <row r="23" spans="1:4" ht="28">
      <c r="A23" s="24" t="s">
        <v>1153</v>
      </c>
      <c r="B23" s="24" t="s">
        <v>1154</v>
      </c>
      <c r="C23" s="24" t="s">
        <v>1155</v>
      </c>
      <c r="D23" s="24" t="s">
        <v>1156</v>
      </c>
    </row>
    <row r="24" spans="1:4" ht="28">
      <c r="A24" s="24" t="s">
        <v>1157</v>
      </c>
      <c r="B24" s="24" t="s">
        <v>1158</v>
      </c>
      <c r="C24" s="24" t="s">
        <v>1159</v>
      </c>
      <c r="D24" s="24" t="s">
        <v>1160</v>
      </c>
    </row>
    <row r="25" spans="1:4" ht="28">
      <c r="A25" s="24" t="s">
        <v>1161</v>
      </c>
      <c r="B25" s="24" t="s">
        <v>1162</v>
      </c>
      <c r="C25" s="24" t="s">
        <v>1163</v>
      </c>
      <c r="D25" s="24" t="s">
        <v>1164</v>
      </c>
    </row>
    <row r="26" spans="1:4" ht="28">
      <c r="A26" s="24" t="s">
        <v>1165</v>
      </c>
      <c r="B26" s="24" t="s">
        <v>1166</v>
      </c>
      <c r="C26" s="24" t="s">
        <v>1167</v>
      </c>
      <c r="D26" s="24" t="s">
        <v>1168</v>
      </c>
    </row>
    <row r="27" spans="1:4" ht="28">
      <c r="A27" s="24" t="s">
        <v>1169</v>
      </c>
      <c r="B27" s="24" t="s">
        <v>1170</v>
      </c>
      <c r="C27" s="24" t="s">
        <v>1171</v>
      </c>
      <c r="D27" s="24" t="s">
        <v>1172</v>
      </c>
    </row>
    <row r="28" spans="1:4" ht="28">
      <c r="A28" s="24" t="s">
        <v>1173</v>
      </c>
      <c r="B28" s="24" t="s">
        <v>1174</v>
      </c>
      <c r="C28" s="24" t="s">
        <v>1175</v>
      </c>
      <c r="D28" s="24" t="s">
        <v>1176</v>
      </c>
    </row>
    <row r="29" spans="1:4" ht="28">
      <c r="A29" s="24" t="s">
        <v>1177</v>
      </c>
      <c r="B29" s="24" t="s">
        <v>1178</v>
      </c>
      <c r="C29" s="24" t="s">
        <v>1179</v>
      </c>
      <c r="D29" s="24" t="s">
        <v>1180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showGridLines="0" workbookViewId="0"/>
  </sheetViews>
  <sheetFormatPr defaultRowHeight="14"/>
  <cols>
    <col min="1" max="1" width="48" customWidth="1"/>
    <col min="2" max="3" width="16" customWidth="1"/>
    <col min="4" max="8" width="13" customWidth="1"/>
  </cols>
  <sheetData>
    <row r="1" spans="1:8" ht="32" customHeight="1">
      <c r="A1" s="1" t="s">
        <v>40</v>
      </c>
      <c r="B1" s="17" t="s">
        <v>29</v>
      </c>
      <c r="C1" s="17" t="s">
        <v>11</v>
      </c>
      <c r="D1" s="17" t="s">
        <v>9</v>
      </c>
      <c r="E1" s="17" t="s">
        <v>5</v>
      </c>
      <c r="F1" s="17" t="s">
        <v>6</v>
      </c>
      <c r="G1" s="17" t="s">
        <v>16</v>
      </c>
      <c r="H1" s="2" t="s">
        <v>19</v>
      </c>
    </row>
    <row r="2" spans="1:8" ht="24" customHeight="1">
      <c r="A2" s="18" t="s">
        <v>52</v>
      </c>
      <c r="B2" s="18" t="s">
        <v>44</v>
      </c>
      <c r="C2" s="18" t="s">
        <v>15</v>
      </c>
      <c r="D2" s="21">
        <f>COUNTIF('Risk_rule Catalog'!$Q$2:$Q$182,A2)</f>
        <v>1</v>
      </c>
      <c r="E2" s="21">
        <f>COUNTIFS('Risk_rule Catalog'!$Q$2:$Q$182,A2,'Risk_rule Catalog'!$F$2:$F$182,"Critical")</f>
        <v>1</v>
      </c>
      <c r="F2" s="21">
        <f>COUNTIFS('Risk_rule Catalog'!$Q$2:$Q$182,A2,'Risk_rule Catalog'!$F$2:$F$182,"High")</f>
        <v>0</v>
      </c>
      <c r="G2" s="21">
        <f>COUNTIFS('Risk_rule Catalog'!$Q$2:$Q$182,A2,'Risk_rule Catalog'!$F$2:$F$182,"Medium")</f>
        <v>0</v>
      </c>
      <c r="H2" s="21">
        <f>COUNTIFS('Risk_rule Catalog'!$Q$2:$Q$182,A2,'Risk_rule Catalog'!$F$2:$F$182,"Low")</f>
        <v>0</v>
      </c>
    </row>
    <row r="3" spans="1:8" ht="24" customHeight="1">
      <c r="A3" s="19" t="s">
        <v>866</v>
      </c>
      <c r="B3" s="19" t="s">
        <v>862</v>
      </c>
      <c r="C3" s="19" t="s">
        <v>18</v>
      </c>
      <c r="D3" s="22">
        <f>COUNTIF('Risk_rule Catalog'!$Q$2:$Q$182,A3)</f>
        <v>68</v>
      </c>
      <c r="E3" s="22">
        <f>COUNTIFS('Risk_rule Catalog'!$Q$2:$Q$182,A3,'Risk_rule Catalog'!$F$2:$F$182,"Critical")</f>
        <v>8</v>
      </c>
      <c r="F3" s="22">
        <f>COUNTIFS('Risk_rule Catalog'!$Q$2:$Q$182,A3,'Risk_rule Catalog'!$F$2:$F$182,"High")</f>
        <v>36</v>
      </c>
      <c r="G3" s="22">
        <f>COUNTIFS('Risk_rule Catalog'!$Q$2:$Q$182,A3,'Risk_rule Catalog'!$F$2:$F$182,"Medium")</f>
        <v>21</v>
      </c>
      <c r="H3" s="22">
        <f>COUNTIFS('Risk_rule Catalog'!$Q$2:$Q$182,A3,'Risk_rule Catalog'!$F$2:$F$182,"Low")</f>
        <v>3</v>
      </c>
    </row>
    <row r="4" spans="1:8" ht="24" customHeight="1">
      <c r="A4" s="19" t="s">
        <v>62</v>
      </c>
      <c r="B4" s="19" t="s">
        <v>44</v>
      </c>
      <c r="C4" s="19" t="s">
        <v>13</v>
      </c>
      <c r="D4" s="22">
        <f>COUNTIF('Risk_rule Catalog'!$Q$2:$Q$182,A4)</f>
        <v>10</v>
      </c>
      <c r="E4" s="22">
        <f>COUNTIFS('Risk_rule Catalog'!$Q$2:$Q$182,A4,'Risk_rule Catalog'!$F$2:$F$182,"Critical")</f>
        <v>4</v>
      </c>
      <c r="F4" s="22">
        <f>COUNTIFS('Risk_rule Catalog'!$Q$2:$Q$182,A4,'Risk_rule Catalog'!$F$2:$F$182,"High")</f>
        <v>5</v>
      </c>
      <c r="G4" s="22">
        <f>COUNTIFS('Risk_rule Catalog'!$Q$2:$Q$182,A4,'Risk_rule Catalog'!$F$2:$F$182,"Medium")</f>
        <v>1</v>
      </c>
      <c r="H4" s="22">
        <f>COUNTIFS('Risk_rule Catalog'!$Q$2:$Q$182,A4,'Risk_rule Catalog'!$F$2:$F$182,"Low")</f>
        <v>0</v>
      </c>
    </row>
    <row r="5" spans="1:8" ht="24" customHeight="1">
      <c r="A5" s="19" t="s">
        <v>313</v>
      </c>
      <c r="B5" s="19" t="s">
        <v>44</v>
      </c>
      <c r="C5" s="19" t="s">
        <v>13</v>
      </c>
      <c r="D5" s="22">
        <f>COUNTIF('Risk_rule Catalog'!$Q$2:$Q$182,A5)</f>
        <v>1</v>
      </c>
      <c r="E5" s="22">
        <f>COUNTIFS('Risk_rule Catalog'!$Q$2:$Q$182,A5,'Risk_rule Catalog'!$F$2:$F$182,"Critical")</f>
        <v>0</v>
      </c>
      <c r="F5" s="22">
        <f>COUNTIFS('Risk_rule Catalog'!$Q$2:$Q$182,A5,'Risk_rule Catalog'!$F$2:$F$182,"High")</f>
        <v>1</v>
      </c>
      <c r="G5" s="22">
        <f>COUNTIFS('Risk_rule Catalog'!$Q$2:$Q$182,A5,'Risk_rule Catalog'!$F$2:$F$182,"Medium")</f>
        <v>0</v>
      </c>
      <c r="H5" s="22">
        <f>COUNTIFS('Risk_rule Catalog'!$Q$2:$Q$182,A5,'Risk_rule Catalog'!$F$2:$F$182,"Low")</f>
        <v>0</v>
      </c>
    </row>
    <row r="6" spans="1:8" ht="24" customHeight="1">
      <c r="A6" s="19" t="s">
        <v>128</v>
      </c>
      <c r="B6" s="19" t="s">
        <v>44</v>
      </c>
      <c r="C6" s="19" t="s">
        <v>13</v>
      </c>
      <c r="D6" s="22">
        <f>COUNTIF('Risk_rule Catalog'!$Q$2:$Q$182,A6)</f>
        <v>7</v>
      </c>
      <c r="E6" s="22">
        <f>COUNTIFS('Risk_rule Catalog'!$Q$2:$Q$182,A6,'Risk_rule Catalog'!$F$2:$F$182,"Critical")</f>
        <v>5</v>
      </c>
      <c r="F6" s="22">
        <f>COUNTIFS('Risk_rule Catalog'!$Q$2:$Q$182,A6,'Risk_rule Catalog'!$F$2:$F$182,"High")</f>
        <v>2</v>
      </c>
      <c r="G6" s="22">
        <f>COUNTIFS('Risk_rule Catalog'!$Q$2:$Q$182,A6,'Risk_rule Catalog'!$F$2:$F$182,"Medium")</f>
        <v>0</v>
      </c>
      <c r="H6" s="22">
        <f>COUNTIFS('Risk_rule Catalog'!$Q$2:$Q$182,A6,'Risk_rule Catalog'!$F$2:$F$182,"Low")</f>
        <v>0</v>
      </c>
    </row>
    <row r="7" spans="1:8" ht="24" customHeight="1">
      <c r="A7" s="19" t="s">
        <v>189</v>
      </c>
      <c r="B7" s="19" t="s">
        <v>44</v>
      </c>
      <c r="C7" s="19" t="s">
        <v>13</v>
      </c>
      <c r="D7" s="22">
        <f>COUNTIF('Risk_rule Catalog'!$Q$2:$Q$182,A7)</f>
        <v>4</v>
      </c>
      <c r="E7" s="22">
        <f>COUNTIFS('Risk_rule Catalog'!$Q$2:$Q$182,A7,'Risk_rule Catalog'!$F$2:$F$182,"Critical")</f>
        <v>3</v>
      </c>
      <c r="F7" s="22">
        <f>COUNTIFS('Risk_rule Catalog'!$Q$2:$Q$182,A7,'Risk_rule Catalog'!$F$2:$F$182,"High")</f>
        <v>1</v>
      </c>
      <c r="G7" s="22">
        <f>COUNTIFS('Risk_rule Catalog'!$Q$2:$Q$182,A7,'Risk_rule Catalog'!$F$2:$F$182,"Medium")</f>
        <v>0</v>
      </c>
      <c r="H7" s="22">
        <f>COUNTIFS('Risk_rule Catalog'!$Q$2:$Q$182,A7,'Risk_rule Catalog'!$F$2:$F$182,"Low")</f>
        <v>0</v>
      </c>
    </row>
    <row r="8" spans="1:8" ht="24" customHeight="1">
      <c r="A8" s="19" t="s">
        <v>217</v>
      </c>
      <c r="B8" s="19" t="s">
        <v>44</v>
      </c>
      <c r="C8" s="19" t="s">
        <v>13</v>
      </c>
      <c r="D8" s="22">
        <f>COUNTIF('Risk_rule Catalog'!$Q$2:$Q$182,A8)</f>
        <v>6</v>
      </c>
      <c r="E8" s="22">
        <f>COUNTIFS('Risk_rule Catalog'!$Q$2:$Q$182,A8,'Risk_rule Catalog'!$F$2:$F$182,"Critical")</f>
        <v>4</v>
      </c>
      <c r="F8" s="22">
        <f>COUNTIFS('Risk_rule Catalog'!$Q$2:$Q$182,A8,'Risk_rule Catalog'!$F$2:$F$182,"High")</f>
        <v>2</v>
      </c>
      <c r="G8" s="22">
        <f>COUNTIFS('Risk_rule Catalog'!$Q$2:$Q$182,A8,'Risk_rule Catalog'!$F$2:$F$182,"Medium")</f>
        <v>0</v>
      </c>
      <c r="H8" s="22">
        <f>COUNTIFS('Risk_rule Catalog'!$Q$2:$Q$182,A8,'Risk_rule Catalog'!$F$2:$F$182,"Low")</f>
        <v>0</v>
      </c>
    </row>
    <row r="9" spans="1:8" ht="24" customHeight="1">
      <c r="A9" s="19" t="s">
        <v>536</v>
      </c>
      <c r="B9" s="19" t="s">
        <v>44</v>
      </c>
      <c r="C9" s="19" t="s">
        <v>13</v>
      </c>
      <c r="D9" s="22">
        <f>COUNTIF('Risk_rule Catalog'!$Q$2:$Q$182,A9)</f>
        <v>1</v>
      </c>
      <c r="E9" s="22">
        <f>COUNTIFS('Risk_rule Catalog'!$Q$2:$Q$182,A9,'Risk_rule Catalog'!$F$2:$F$182,"Critical")</f>
        <v>1</v>
      </c>
      <c r="F9" s="22">
        <f>COUNTIFS('Risk_rule Catalog'!$Q$2:$Q$182,A9,'Risk_rule Catalog'!$F$2:$F$182,"High")</f>
        <v>0</v>
      </c>
      <c r="G9" s="22">
        <f>COUNTIFS('Risk_rule Catalog'!$Q$2:$Q$182,A9,'Risk_rule Catalog'!$F$2:$F$182,"Medium")</f>
        <v>0</v>
      </c>
      <c r="H9" s="22">
        <f>COUNTIFS('Risk_rule Catalog'!$Q$2:$Q$182,A9,'Risk_rule Catalog'!$F$2:$F$182,"Low")</f>
        <v>0</v>
      </c>
    </row>
    <row r="10" spans="1:8" ht="24" customHeight="1">
      <c r="A10" s="19" t="s">
        <v>786</v>
      </c>
      <c r="B10" s="19" t="s">
        <v>44</v>
      </c>
      <c r="C10" s="19" t="s">
        <v>13</v>
      </c>
      <c r="D10" s="22">
        <f>COUNTIF('Risk_rule Catalog'!$Q$2:$Q$182,A10)</f>
        <v>1</v>
      </c>
      <c r="E10" s="22">
        <f>COUNTIFS('Risk_rule Catalog'!$Q$2:$Q$182,A10,'Risk_rule Catalog'!$F$2:$F$182,"Critical")</f>
        <v>0</v>
      </c>
      <c r="F10" s="22">
        <f>COUNTIFS('Risk_rule Catalog'!$Q$2:$Q$182,A10,'Risk_rule Catalog'!$F$2:$F$182,"High")</f>
        <v>1</v>
      </c>
      <c r="G10" s="22">
        <f>COUNTIFS('Risk_rule Catalog'!$Q$2:$Q$182,A10,'Risk_rule Catalog'!$F$2:$F$182,"Medium")</f>
        <v>0</v>
      </c>
      <c r="H10" s="22">
        <f>COUNTIFS('Risk_rule Catalog'!$Q$2:$Q$182,A10,'Risk_rule Catalog'!$F$2:$F$182,"Low")</f>
        <v>0</v>
      </c>
    </row>
    <row r="11" spans="1:8" ht="24" customHeight="1">
      <c r="A11" s="19" t="s">
        <v>595</v>
      </c>
      <c r="B11" s="19" t="s">
        <v>44</v>
      </c>
      <c r="C11" s="19" t="s">
        <v>13</v>
      </c>
      <c r="D11" s="22">
        <f>COUNTIF('Risk_rule Catalog'!$Q$2:$Q$182,A11)</f>
        <v>2</v>
      </c>
      <c r="E11" s="22">
        <f>COUNTIFS('Risk_rule Catalog'!$Q$2:$Q$182,A11,'Risk_rule Catalog'!$F$2:$F$182,"Critical")</f>
        <v>1</v>
      </c>
      <c r="F11" s="22">
        <f>COUNTIFS('Risk_rule Catalog'!$Q$2:$Q$182,A11,'Risk_rule Catalog'!$F$2:$F$182,"High")</f>
        <v>1</v>
      </c>
      <c r="G11" s="22">
        <f>COUNTIFS('Risk_rule Catalog'!$Q$2:$Q$182,A11,'Risk_rule Catalog'!$F$2:$F$182,"Medium")</f>
        <v>0</v>
      </c>
      <c r="H11" s="22">
        <f>COUNTIFS('Risk_rule Catalog'!$Q$2:$Q$182,A11,'Risk_rule Catalog'!$F$2:$F$182,"Low")</f>
        <v>0</v>
      </c>
    </row>
    <row r="12" spans="1:8" ht="24" customHeight="1">
      <c r="A12" s="19" t="s">
        <v>290</v>
      </c>
      <c r="B12" s="19" t="s">
        <v>44</v>
      </c>
      <c r="C12" s="19" t="s">
        <v>13</v>
      </c>
      <c r="D12" s="22">
        <f>COUNTIF('Risk_rule Catalog'!$Q$2:$Q$182,A12)</f>
        <v>4</v>
      </c>
      <c r="E12" s="22">
        <f>COUNTIFS('Risk_rule Catalog'!$Q$2:$Q$182,A12,'Risk_rule Catalog'!$F$2:$F$182,"Critical")</f>
        <v>1</v>
      </c>
      <c r="F12" s="22">
        <f>COUNTIFS('Risk_rule Catalog'!$Q$2:$Q$182,A12,'Risk_rule Catalog'!$F$2:$F$182,"High")</f>
        <v>3</v>
      </c>
      <c r="G12" s="22">
        <f>COUNTIFS('Risk_rule Catalog'!$Q$2:$Q$182,A12,'Risk_rule Catalog'!$F$2:$F$182,"Medium")</f>
        <v>0</v>
      </c>
      <c r="H12" s="22">
        <f>COUNTIFS('Risk_rule Catalog'!$Q$2:$Q$182,A12,'Risk_rule Catalog'!$F$2:$F$182,"Low")</f>
        <v>0</v>
      </c>
    </row>
    <row r="13" spans="1:8" ht="24" customHeight="1">
      <c r="A13" s="19" t="s">
        <v>323</v>
      </c>
      <c r="B13" s="19" t="s">
        <v>44</v>
      </c>
      <c r="C13" s="19" t="s">
        <v>13</v>
      </c>
      <c r="D13" s="22">
        <f>COUNTIF('Risk_rule Catalog'!$Q$2:$Q$182,A13)</f>
        <v>1</v>
      </c>
      <c r="E13" s="22">
        <f>COUNTIFS('Risk_rule Catalog'!$Q$2:$Q$182,A13,'Risk_rule Catalog'!$F$2:$F$182,"Critical")</f>
        <v>1</v>
      </c>
      <c r="F13" s="22">
        <f>COUNTIFS('Risk_rule Catalog'!$Q$2:$Q$182,A13,'Risk_rule Catalog'!$F$2:$F$182,"High")</f>
        <v>0</v>
      </c>
      <c r="G13" s="22">
        <f>COUNTIFS('Risk_rule Catalog'!$Q$2:$Q$182,A13,'Risk_rule Catalog'!$F$2:$F$182,"Medium")</f>
        <v>0</v>
      </c>
      <c r="H13" s="22">
        <f>COUNTIFS('Risk_rule Catalog'!$Q$2:$Q$182,A13,'Risk_rule Catalog'!$F$2:$F$182,"Low")</f>
        <v>0</v>
      </c>
    </row>
    <row r="14" spans="1:8" ht="24" customHeight="1">
      <c r="A14" s="19" t="s">
        <v>146</v>
      </c>
      <c r="B14" s="19" t="s">
        <v>44</v>
      </c>
      <c r="C14" s="19" t="s">
        <v>13</v>
      </c>
      <c r="D14" s="22">
        <f>COUNTIF('Risk_rule Catalog'!$Q$2:$Q$182,A14)</f>
        <v>1</v>
      </c>
      <c r="E14" s="22">
        <f>COUNTIFS('Risk_rule Catalog'!$Q$2:$Q$182,A14,'Risk_rule Catalog'!$F$2:$F$182,"Critical")</f>
        <v>1</v>
      </c>
      <c r="F14" s="22">
        <f>COUNTIFS('Risk_rule Catalog'!$Q$2:$Q$182,A14,'Risk_rule Catalog'!$F$2:$F$182,"High")</f>
        <v>0</v>
      </c>
      <c r="G14" s="22">
        <f>COUNTIFS('Risk_rule Catalog'!$Q$2:$Q$182,A14,'Risk_rule Catalog'!$F$2:$F$182,"Medium")</f>
        <v>0</v>
      </c>
      <c r="H14" s="22">
        <f>COUNTIFS('Risk_rule Catalog'!$Q$2:$Q$182,A14,'Risk_rule Catalog'!$F$2:$F$182,"Low")</f>
        <v>0</v>
      </c>
    </row>
    <row r="15" spans="1:8" ht="24" customHeight="1">
      <c r="A15" s="19" t="s">
        <v>242</v>
      </c>
      <c r="B15" s="19" t="s">
        <v>44</v>
      </c>
      <c r="C15" s="19" t="s">
        <v>13</v>
      </c>
      <c r="D15" s="22">
        <f>COUNTIF('Risk_rule Catalog'!$Q$2:$Q$182,A15)</f>
        <v>3</v>
      </c>
      <c r="E15" s="22">
        <f>COUNTIFS('Risk_rule Catalog'!$Q$2:$Q$182,A15,'Risk_rule Catalog'!$F$2:$F$182,"Critical")</f>
        <v>2</v>
      </c>
      <c r="F15" s="22">
        <f>COUNTIFS('Risk_rule Catalog'!$Q$2:$Q$182,A15,'Risk_rule Catalog'!$F$2:$F$182,"High")</f>
        <v>1</v>
      </c>
      <c r="G15" s="22">
        <f>COUNTIFS('Risk_rule Catalog'!$Q$2:$Q$182,A15,'Risk_rule Catalog'!$F$2:$F$182,"Medium")</f>
        <v>0</v>
      </c>
      <c r="H15" s="22">
        <f>COUNTIFS('Risk_rule Catalog'!$Q$2:$Q$182,A15,'Risk_rule Catalog'!$F$2:$F$182,"Low")</f>
        <v>0</v>
      </c>
    </row>
    <row r="16" spans="1:8" ht="24" customHeight="1">
      <c r="A16" s="19" t="s">
        <v>771</v>
      </c>
      <c r="B16" s="19" t="s">
        <v>44</v>
      </c>
      <c r="C16" s="19" t="s">
        <v>13</v>
      </c>
      <c r="D16" s="22">
        <f>COUNTIF('Risk_rule Catalog'!$Q$2:$Q$182,A16)</f>
        <v>2</v>
      </c>
      <c r="E16" s="22">
        <f>COUNTIFS('Risk_rule Catalog'!$Q$2:$Q$182,A16,'Risk_rule Catalog'!$F$2:$F$182,"Critical")</f>
        <v>0</v>
      </c>
      <c r="F16" s="22">
        <f>COUNTIFS('Risk_rule Catalog'!$Q$2:$Q$182,A16,'Risk_rule Catalog'!$F$2:$F$182,"High")</f>
        <v>2</v>
      </c>
      <c r="G16" s="22">
        <f>COUNTIFS('Risk_rule Catalog'!$Q$2:$Q$182,A16,'Risk_rule Catalog'!$F$2:$F$182,"Medium")</f>
        <v>0</v>
      </c>
      <c r="H16" s="22">
        <f>COUNTIFS('Risk_rule Catalog'!$Q$2:$Q$182,A16,'Risk_rule Catalog'!$F$2:$F$182,"Low")</f>
        <v>0</v>
      </c>
    </row>
    <row r="17" spans="1:8" ht="24" customHeight="1">
      <c r="A17" s="19" t="s">
        <v>340</v>
      </c>
      <c r="B17" s="19" t="s">
        <v>44</v>
      </c>
      <c r="C17" s="19" t="s">
        <v>13</v>
      </c>
      <c r="D17" s="22">
        <f>COUNTIF('Risk_rule Catalog'!$Q$2:$Q$182,A17)</f>
        <v>16</v>
      </c>
      <c r="E17" s="22">
        <f>COUNTIFS('Risk_rule Catalog'!$Q$2:$Q$182,A17,'Risk_rule Catalog'!$F$2:$F$182,"Critical")</f>
        <v>10</v>
      </c>
      <c r="F17" s="22">
        <f>COUNTIFS('Risk_rule Catalog'!$Q$2:$Q$182,A17,'Risk_rule Catalog'!$F$2:$F$182,"High")</f>
        <v>6</v>
      </c>
      <c r="G17" s="22">
        <f>COUNTIFS('Risk_rule Catalog'!$Q$2:$Q$182,A17,'Risk_rule Catalog'!$F$2:$F$182,"Medium")</f>
        <v>0</v>
      </c>
      <c r="H17" s="22">
        <f>COUNTIFS('Risk_rule Catalog'!$Q$2:$Q$182,A17,'Risk_rule Catalog'!$F$2:$F$182,"Low")</f>
        <v>0</v>
      </c>
    </row>
    <row r="18" spans="1:8" ht="24" customHeight="1">
      <c r="A18" s="19" t="s">
        <v>719</v>
      </c>
      <c r="B18" s="19" t="s">
        <v>44</v>
      </c>
      <c r="C18" s="19" t="s">
        <v>13</v>
      </c>
      <c r="D18" s="22">
        <f>COUNTIF('Risk_rule Catalog'!$Q$2:$Q$182,A18)</f>
        <v>3</v>
      </c>
      <c r="E18" s="22">
        <f>COUNTIFS('Risk_rule Catalog'!$Q$2:$Q$182,A18,'Risk_rule Catalog'!$F$2:$F$182,"Critical")</f>
        <v>1</v>
      </c>
      <c r="F18" s="22">
        <f>COUNTIFS('Risk_rule Catalog'!$Q$2:$Q$182,A18,'Risk_rule Catalog'!$F$2:$F$182,"High")</f>
        <v>2</v>
      </c>
      <c r="G18" s="22">
        <f>COUNTIFS('Risk_rule Catalog'!$Q$2:$Q$182,A18,'Risk_rule Catalog'!$F$2:$F$182,"Medium")</f>
        <v>0</v>
      </c>
      <c r="H18" s="22">
        <f>COUNTIFS('Risk_rule Catalog'!$Q$2:$Q$182,A18,'Risk_rule Catalog'!$F$2:$F$182,"Low")</f>
        <v>0</v>
      </c>
    </row>
    <row r="19" spans="1:8" ht="24" customHeight="1">
      <c r="A19" s="19" t="s">
        <v>493</v>
      </c>
      <c r="B19" s="19" t="s">
        <v>44</v>
      </c>
      <c r="C19" s="19" t="s">
        <v>13</v>
      </c>
      <c r="D19" s="22">
        <f>COUNTIF('Risk_rule Catalog'!$Q$2:$Q$182,A19)</f>
        <v>3</v>
      </c>
      <c r="E19" s="22">
        <f>COUNTIFS('Risk_rule Catalog'!$Q$2:$Q$182,A19,'Risk_rule Catalog'!$F$2:$F$182,"Critical")</f>
        <v>1</v>
      </c>
      <c r="F19" s="22">
        <f>COUNTIFS('Risk_rule Catalog'!$Q$2:$Q$182,A19,'Risk_rule Catalog'!$F$2:$F$182,"High")</f>
        <v>2</v>
      </c>
      <c r="G19" s="22">
        <f>COUNTIFS('Risk_rule Catalog'!$Q$2:$Q$182,A19,'Risk_rule Catalog'!$F$2:$F$182,"Medium")</f>
        <v>0</v>
      </c>
      <c r="H19" s="22">
        <f>COUNTIFS('Risk_rule Catalog'!$Q$2:$Q$182,A19,'Risk_rule Catalog'!$F$2:$F$182,"Low")</f>
        <v>0</v>
      </c>
    </row>
    <row r="20" spans="1:8" ht="24" customHeight="1">
      <c r="A20" s="19" t="s">
        <v>450</v>
      </c>
      <c r="B20" s="19" t="s">
        <v>44</v>
      </c>
      <c r="C20" s="19" t="s">
        <v>13</v>
      </c>
      <c r="D20" s="22">
        <f>COUNTIF('Risk_rule Catalog'!$Q$2:$Q$182,A20)</f>
        <v>7</v>
      </c>
      <c r="E20" s="22">
        <f>COUNTIFS('Risk_rule Catalog'!$Q$2:$Q$182,A20,'Risk_rule Catalog'!$F$2:$F$182,"Critical")</f>
        <v>4</v>
      </c>
      <c r="F20" s="22">
        <f>COUNTIFS('Risk_rule Catalog'!$Q$2:$Q$182,A20,'Risk_rule Catalog'!$F$2:$F$182,"High")</f>
        <v>3</v>
      </c>
      <c r="G20" s="22">
        <f>COUNTIFS('Risk_rule Catalog'!$Q$2:$Q$182,A20,'Risk_rule Catalog'!$F$2:$F$182,"Medium")</f>
        <v>0</v>
      </c>
      <c r="H20" s="22">
        <f>COUNTIFS('Risk_rule Catalog'!$Q$2:$Q$182,A20,'Risk_rule Catalog'!$F$2:$F$182,"Low")</f>
        <v>0</v>
      </c>
    </row>
    <row r="21" spans="1:8" ht="24" customHeight="1">
      <c r="A21" s="19" t="s">
        <v>519</v>
      </c>
      <c r="B21" s="19" t="s">
        <v>44</v>
      </c>
      <c r="C21" s="19" t="s">
        <v>13</v>
      </c>
      <c r="D21" s="22">
        <f>COUNTIF('Risk_rule Catalog'!$Q$2:$Q$182,A21)</f>
        <v>4</v>
      </c>
      <c r="E21" s="22">
        <f>COUNTIFS('Risk_rule Catalog'!$Q$2:$Q$182,A21,'Risk_rule Catalog'!$F$2:$F$182,"Critical")</f>
        <v>2</v>
      </c>
      <c r="F21" s="22">
        <f>COUNTIFS('Risk_rule Catalog'!$Q$2:$Q$182,A21,'Risk_rule Catalog'!$F$2:$F$182,"High")</f>
        <v>2</v>
      </c>
      <c r="G21" s="22">
        <f>COUNTIFS('Risk_rule Catalog'!$Q$2:$Q$182,A21,'Risk_rule Catalog'!$F$2:$F$182,"Medium")</f>
        <v>0</v>
      </c>
      <c r="H21" s="22">
        <f>COUNTIFS('Risk_rule Catalog'!$Q$2:$Q$182,A21,'Risk_rule Catalog'!$F$2:$F$182,"Low")</f>
        <v>0</v>
      </c>
    </row>
    <row r="22" spans="1:8" ht="24" customHeight="1">
      <c r="A22" s="19" t="s">
        <v>565</v>
      </c>
      <c r="B22" s="19" t="s">
        <v>44</v>
      </c>
      <c r="C22" s="19" t="s">
        <v>13</v>
      </c>
      <c r="D22" s="22">
        <f>COUNTIF('Risk_rule Catalog'!$Q$2:$Q$182,A22)</f>
        <v>5</v>
      </c>
      <c r="E22" s="22">
        <f>COUNTIFS('Risk_rule Catalog'!$Q$2:$Q$182,A22,'Risk_rule Catalog'!$F$2:$F$182,"Critical")</f>
        <v>4</v>
      </c>
      <c r="F22" s="22">
        <f>COUNTIFS('Risk_rule Catalog'!$Q$2:$Q$182,A22,'Risk_rule Catalog'!$F$2:$F$182,"High")</f>
        <v>1</v>
      </c>
      <c r="G22" s="22">
        <f>COUNTIFS('Risk_rule Catalog'!$Q$2:$Q$182,A22,'Risk_rule Catalog'!$F$2:$F$182,"Medium")</f>
        <v>0</v>
      </c>
      <c r="H22" s="22">
        <f>COUNTIFS('Risk_rule Catalog'!$Q$2:$Q$182,A22,'Risk_rule Catalog'!$F$2:$F$182,"Low")</f>
        <v>0</v>
      </c>
    </row>
    <row r="23" spans="1:8" ht="24" customHeight="1">
      <c r="A23" s="19" t="s">
        <v>612</v>
      </c>
      <c r="B23" s="19" t="s">
        <v>44</v>
      </c>
      <c r="C23" s="19" t="s">
        <v>13</v>
      </c>
      <c r="D23" s="22">
        <f>COUNTIF('Risk_rule Catalog'!$Q$2:$Q$182,A23)</f>
        <v>10</v>
      </c>
      <c r="E23" s="22">
        <f>COUNTIFS('Risk_rule Catalog'!$Q$2:$Q$182,A23,'Risk_rule Catalog'!$F$2:$F$182,"Critical")</f>
        <v>8</v>
      </c>
      <c r="F23" s="22">
        <f>COUNTIFS('Risk_rule Catalog'!$Q$2:$Q$182,A23,'Risk_rule Catalog'!$F$2:$F$182,"High")</f>
        <v>2</v>
      </c>
      <c r="G23" s="22">
        <f>COUNTIFS('Risk_rule Catalog'!$Q$2:$Q$182,A23,'Risk_rule Catalog'!$F$2:$F$182,"Medium")</f>
        <v>0</v>
      </c>
      <c r="H23" s="22">
        <f>COUNTIFS('Risk_rule Catalog'!$Q$2:$Q$182,A23,'Risk_rule Catalog'!$F$2:$F$182,"Low")</f>
        <v>0</v>
      </c>
    </row>
    <row r="24" spans="1:8" ht="24" customHeight="1">
      <c r="A24" s="19" t="s">
        <v>680</v>
      </c>
      <c r="B24" s="19" t="s">
        <v>44</v>
      </c>
      <c r="C24" s="19" t="s">
        <v>13</v>
      </c>
      <c r="D24" s="22">
        <f>COUNTIF('Risk_rule Catalog'!$Q$2:$Q$182,A24)</f>
        <v>7</v>
      </c>
      <c r="E24" s="22">
        <f>COUNTIFS('Risk_rule Catalog'!$Q$2:$Q$182,A24,'Risk_rule Catalog'!$F$2:$F$182,"Critical")</f>
        <v>2</v>
      </c>
      <c r="F24" s="22">
        <f>COUNTIFS('Risk_rule Catalog'!$Q$2:$Q$182,A24,'Risk_rule Catalog'!$F$2:$F$182,"High")</f>
        <v>5</v>
      </c>
      <c r="G24" s="22">
        <f>COUNTIFS('Risk_rule Catalog'!$Q$2:$Q$182,A24,'Risk_rule Catalog'!$F$2:$F$182,"Medium")</f>
        <v>0</v>
      </c>
      <c r="H24" s="22">
        <f>COUNTIFS('Risk_rule Catalog'!$Q$2:$Q$182,A24,'Risk_rule Catalog'!$F$2:$F$182,"Low")</f>
        <v>0</v>
      </c>
    </row>
    <row r="25" spans="1:8" ht="24" customHeight="1">
      <c r="A25" s="19" t="s">
        <v>755</v>
      </c>
      <c r="B25" s="19" t="s">
        <v>44</v>
      </c>
      <c r="C25" s="19" t="s">
        <v>13</v>
      </c>
      <c r="D25" s="22">
        <f>COUNTIF('Risk_rule Catalog'!$Q$2:$Q$182,A25)</f>
        <v>3</v>
      </c>
      <c r="E25" s="22">
        <f>COUNTIFS('Risk_rule Catalog'!$Q$2:$Q$182,A25,'Risk_rule Catalog'!$F$2:$F$182,"Critical")</f>
        <v>2</v>
      </c>
      <c r="F25" s="22">
        <f>COUNTIFS('Risk_rule Catalog'!$Q$2:$Q$182,A25,'Risk_rule Catalog'!$F$2:$F$182,"High")</f>
        <v>1</v>
      </c>
      <c r="G25" s="22">
        <f>COUNTIFS('Risk_rule Catalog'!$Q$2:$Q$182,A25,'Risk_rule Catalog'!$F$2:$F$182,"Medium")</f>
        <v>0</v>
      </c>
      <c r="H25" s="22">
        <f>COUNTIFS('Risk_rule Catalog'!$Q$2:$Q$182,A25,'Risk_rule Catalog'!$F$2:$F$182,"Low")</f>
        <v>0</v>
      </c>
    </row>
    <row r="26" spans="1:8" ht="24" customHeight="1">
      <c r="A26" s="19" t="s">
        <v>802</v>
      </c>
      <c r="B26" s="19" t="s">
        <v>44</v>
      </c>
      <c r="C26" s="19" t="s">
        <v>13</v>
      </c>
      <c r="D26" s="22">
        <f>COUNTIF('Risk_rule Catalog'!$Q$2:$Q$182,A26)</f>
        <v>10</v>
      </c>
      <c r="E26" s="22">
        <f>COUNTIFS('Risk_rule Catalog'!$Q$2:$Q$182,A26,'Risk_rule Catalog'!$F$2:$F$182,"Critical")</f>
        <v>7</v>
      </c>
      <c r="F26" s="22">
        <f>COUNTIFS('Risk_rule Catalog'!$Q$2:$Q$182,A26,'Risk_rule Catalog'!$F$2:$F$182,"High")</f>
        <v>3</v>
      </c>
      <c r="G26" s="22">
        <f>COUNTIFS('Risk_rule Catalog'!$Q$2:$Q$182,A26,'Risk_rule Catalog'!$F$2:$F$182,"Medium")</f>
        <v>0</v>
      </c>
      <c r="H26" s="22">
        <f>COUNTIFS('Risk_rule Catalog'!$Q$2:$Q$182,A26,'Risk_rule Catalog'!$F$2:$F$182,"Low")</f>
        <v>0</v>
      </c>
    </row>
    <row r="27" spans="1:8" ht="24" customHeight="1">
      <c r="A27" s="20" t="s">
        <v>544</v>
      </c>
      <c r="B27" s="20" t="s">
        <v>44</v>
      </c>
      <c r="C27" s="20" t="s">
        <v>13</v>
      </c>
      <c r="D27" s="23">
        <f>COUNTIF('Risk_rule Catalog'!$Q$2:$Q$182,A27)</f>
        <v>1</v>
      </c>
      <c r="E27" s="23">
        <f>COUNTIFS('Risk_rule Catalog'!$Q$2:$Q$182,A27,'Risk_rule Catalog'!$F$2:$F$182,"Critical")</f>
        <v>0</v>
      </c>
      <c r="F27" s="23">
        <f>COUNTIFS('Risk_rule Catalog'!$Q$2:$Q$182,A27,'Risk_rule Catalog'!$F$2:$F$182,"High")</f>
        <v>1</v>
      </c>
      <c r="G27" s="23">
        <f>COUNTIFS('Risk_rule Catalog'!$Q$2:$Q$182,A27,'Risk_rule Catalog'!$F$2:$F$182,"Medium")</f>
        <v>0</v>
      </c>
      <c r="H27" s="23">
        <f>COUNTIFS('Risk_rule Catalog'!$Q$2:$Q$182,A27,'Risk_rule Catalog'!$F$2:$F$182,"Low")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Risk_rule Catalog</vt:lpstr>
      <vt:lpstr>entity</vt:lpstr>
      <vt:lpstr>Source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K N</cp:lastModifiedBy>
  <dcterms:modified xsi:type="dcterms:W3CDTF">2026-08-19T18:07:52Z</dcterms:modified>
</cp:coreProperties>
</file>